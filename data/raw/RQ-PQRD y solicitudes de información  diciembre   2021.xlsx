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https://supersalud-my.sharepoint.com/personal/vivian_valderrama_supersalud_gov_co/Documents/2021/Informes/Informes estadísticos para web/"/>
    </mc:Choice>
  </mc:AlternateContent>
  <xr:revisionPtr revIDLastSave="0" documentId="8_{973847D9-03A1-4C59-8329-E21845C6F9D0}" xr6:coauthVersionLast="47" xr6:coauthVersionMax="47" xr10:uidLastSave="{00000000-0000-0000-0000-000000000000}"/>
  <bookViews>
    <workbookView xWindow="-120" yWindow="-120" windowWidth="29040" windowHeight="15840" xr2:uid="{00000000-000D-0000-FFFF-FFFF00000000}"/>
  </bookViews>
  <sheets>
    <sheet name="PQRD - SNS" sheetId="1" r:id="rId1"/>
    <sheet name="Hoja1" sheetId="2" state="hidden" r:id="rId2"/>
  </sheets>
  <externalReferences>
    <externalReference r:id="rId3"/>
    <externalReference r:id="rId4"/>
    <externalReference r:id="rId5"/>
    <externalReference r:id="rId6"/>
  </externalReferences>
  <definedNames>
    <definedName name="_xlnm._FilterDatabase" localSheetId="0" hidden="1">'PQRD - SNS'!$A$151:$Q$447</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440" i="1" l="1"/>
  <c r="E607" i="1" l="1"/>
  <c r="F607" i="1"/>
  <c r="G607" i="1"/>
  <c r="H607" i="1"/>
  <c r="I607" i="1"/>
  <c r="J607" i="1"/>
  <c r="K607" i="1"/>
  <c r="L607" i="1"/>
  <c r="M607" i="1"/>
  <c r="N607" i="1"/>
  <c r="D607" i="1"/>
  <c r="D606" i="1"/>
  <c r="P161" i="1"/>
  <c r="E445" i="1"/>
  <c r="F445" i="1"/>
  <c r="G445" i="1"/>
  <c r="H445" i="1"/>
  <c r="I445" i="1"/>
  <c r="J445" i="1"/>
  <c r="K445" i="1"/>
  <c r="L445" i="1"/>
  <c r="M445" i="1"/>
  <c r="N445" i="1"/>
  <c r="O445" i="1"/>
  <c r="P153" i="1"/>
  <c r="P154" i="1"/>
  <c r="P155" i="1"/>
  <c r="P156" i="1"/>
  <c r="P157" i="1"/>
  <c r="P158" i="1"/>
  <c r="P159" i="1"/>
  <c r="P160" i="1"/>
  <c r="P152" i="1"/>
  <c r="N140" i="1"/>
  <c r="N141" i="1"/>
  <c r="N142" i="1"/>
  <c r="N143" i="1"/>
  <c r="N144" i="1"/>
  <c r="N139" i="1"/>
  <c r="P604" i="1" l="1"/>
  <c r="D445" i="1" l="1"/>
  <c r="P445" i="1" s="1"/>
  <c r="Q129" i="1" l="1"/>
  <c r="L606" i="1" l="1"/>
  <c r="K140" i="1" l="1"/>
  <c r="K141" i="1"/>
  <c r="K142" i="1"/>
  <c r="K143" i="1"/>
  <c r="K139" i="1"/>
  <c r="P119" i="1"/>
  <c r="R119" i="1" s="1"/>
  <c r="P125" i="1"/>
  <c r="R125" i="1" s="1"/>
  <c r="P121" i="1"/>
  <c r="R121" i="1" s="1"/>
  <c r="P122" i="1"/>
  <c r="R122" i="1" s="1"/>
  <c r="P126" i="1"/>
  <c r="R126" i="1" s="1"/>
  <c r="K54" i="1"/>
  <c r="K55" i="1"/>
  <c r="K56" i="1"/>
  <c r="K57" i="1"/>
  <c r="K60" i="1"/>
  <c r="K58" i="1"/>
  <c r="K59" i="1"/>
  <c r="K62" i="1"/>
  <c r="K61" i="1"/>
  <c r="K64" i="1"/>
  <c r="K63" i="1"/>
  <c r="K66" i="1"/>
  <c r="K70" i="1"/>
  <c r="K67" i="1"/>
  <c r="K68" i="1"/>
  <c r="K65" i="1"/>
  <c r="K69" i="1"/>
  <c r="K72" i="1"/>
  <c r="K74" i="1"/>
  <c r="K73" i="1"/>
  <c r="K76" i="1"/>
  <c r="K75" i="1"/>
  <c r="K77" i="1"/>
  <c r="K71" i="1"/>
  <c r="K78" i="1"/>
  <c r="K79" i="1"/>
  <c r="K80" i="1"/>
  <c r="K81" i="1"/>
  <c r="K83" i="1"/>
  <c r="K84" i="1"/>
  <c r="K85" i="1"/>
  <c r="K82" i="1"/>
  <c r="K53" i="1"/>
  <c r="O607" i="1"/>
  <c r="P599" i="1"/>
  <c r="P600" i="1"/>
  <c r="P601" i="1"/>
  <c r="P602" i="1"/>
  <c r="P603" i="1"/>
  <c r="P605" i="1"/>
  <c r="J480" i="1"/>
  <c r="K480" i="1"/>
  <c r="J481" i="1"/>
  <c r="K481" i="1"/>
  <c r="J482" i="1"/>
  <c r="K482" i="1"/>
  <c r="J484" i="1"/>
  <c r="K484" i="1"/>
  <c r="J485" i="1"/>
  <c r="K485" i="1"/>
  <c r="J483" i="1"/>
  <c r="K483" i="1"/>
  <c r="J486" i="1"/>
  <c r="K486" i="1"/>
  <c r="J489" i="1"/>
  <c r="K489" i="1"/>
  <c r="J488" i="1"/>
  <c r="K488" i="1"/>
  <c r="J490" i="1"/>
  <c r="K490" i="1"/>
  <c r="J487" i="1"/>
  <c r="K487" i="1"/>
  <c r="J491" i="1"/>
  <c r="K491" i="1"/>
  <c r="J493" i="1"/>
  <c r="K493" i="1"/>
  <c r="J492" i="1"/>
  <c r="K492" i="1"/>
  <c r="J494" i="1"/>
  <c r="K494" i="1"/>
  <c r="J495" i="1"/>
  <c r="K495" i="1"/>
  <c r="J497" i="1"/>
  <c r="K497" i="1"/>
  <c r="J496" i="1"/>
  <c r="K496" i="1"/>
  <c r="J498" i="1"/>
  <c r="K498" i="1"/>
  <c r="J499" i="1"/>
  <c r="K499" i="1"/>
  <c r="J500" i="1"/>
  <c r="K500" i="1"/>
  <c r="J503" i="1"/>
  <c r="K503" i="1"/>
  <c r="K479" i="1"/>
  <c r="J479" i="1"/>
  <c r="J455" i="1"/>
  <c r="K455" i="1"/>
  <c r="J456" i="1"/>
  <c r="K456" i="1"/>
  <c r="J457" i="1"/>
  <c r="K457" i="1"/>
  <c r="J458" i="1"/>
  <c r="K458" i="1"/>
  <c r="J459" i="1"/>
  <c r="K459" i="1"/>
  <c r="J461" i="1"/>
  <c r="K461" i="1"/>
  <c r="J462" i="1"/>
  <c r="K462" i="1"/>
  <c r="J460" i="1"/>
  <c r="K460" i="1"/>
  <c r="J463" i="1"/>
  <c r="K463" i="1"/>
  <c r="J465" i="1"/>
  <c r="K465" i="1"/>
  <c r="J464" i="1"/>
  <c r="K464" i="1"/>
  <c r="J466" i="1"/>
  <c r="K466" i="1"/>
  <c r="J467" i="1"/>
  <c r="K467" i="1"/>
  <c r="K454" i="1"/>
  <c r="J454" i="1"/>
  <c r="P442" i="1"/>
  <c r="P368" i="1"/>
  <c r="J54" i="1"/>
  <c r="J55" i="1"/>
  <c r="J56" i="1"/>
  <c r="J57" i="1"/>
  <c r="J60" i="1"/>
  <c r="J58" i="1"/>
  <c r="J59" i="1"/>
  <c r="J62" i="1"/>
  <c r="J61" i="1"/>
  <c r="J64" i="1"/>
  <c r="J63" i="1"/>
  <c r="J66" i="1"/>
  <c r="J70" i="1"/>
  <c r="J67" i="1"/>
  <c r="J68" i="1"/>
  <c r="J65" i="1"/>
  <c r="J69" i="1"/>
  <c r="J72" i="1"/>
  <c r="J74" i="1"/>
  <c r="J73" i="1"/>
  <c r="J76" i="1"/>
  <c r="J75" i="1"/>
  <c r="J77" i="1"/>
  <c r="J71" i="1"/>
  <c r="J78" i="1"/>
  <c r="J79" i="1"/>
  <c r="J80" i="1"/>
  <c r="J81" i="1"/>
  <c r="J83" i="1"/>
  <c r="J84" i="1"/>
  <c r="J85" i="1"/>
  <c r="J82" i="1"/>
  <c r="J53" i="1"/>
  <c r="J12" i="1"/>
  <c r="B602" i="1"/>
  <c r="B601" i="1"/>
  <c r="P317" i="1"/>
  <c r="B317" i="1"/>
  <c r="P384" i="1"/>
  <c r="B384" i="1"/>
  <c r="P120" i="1" l="1"/>
  <c r="R120" i="1" s="1"/>
  <c r="P124" i="1"/>
  <c r="R124" i="1" s="1"/>
  <c r="P109" i="1"/>
  <c r="R109" i="1" s="1"/>
  <c r="P107" i="1"/>
  <c r="R107" i="1" s="1"/>
  <c r="P114" i="1"/>
  <c r="R114" i="1" s="1"/>
  <c r="P128" i="1"/>
  <c r="R128" i="1" s="1"/>
  <c r="P127" i="1"/>
  <c r="R127" i="1" s="1"/>
  <c r="P112" i="1"/>
  <c r="R112" i="1" s="1"/>
  <c r="P118" i="1"/>
  <c r="R118" i="1" s="1"/>
  <c r="P123" i="1"/>
  <c r="P103" i="1"/>
  <c r="R103" i="1" s="1"/>
  <c r="P105" i="1"/>
  <c r="R105" i="1" s="1"/>
  <c r="P110" i="1"/>
  <c r="R110" i="1" s="1"/>
  <c r="P99" i="1"/>
  <c r="R99" i="1" s="1"/>
  <c r="P113" i="1"/>
  <c r="R113" i="1" s="1"/>
  <c r="P97" i="1"/>
  <c r="R97" i="1" s="1"/>
  <c r="P108" i="1"/>
  <c r="R108" i="1" s="1"/>
  <c r="P104" i="1"/>
  <c r="R104" i="1" s="1"/>
  <c r="P116" i="1"/>
  <c r="R116" i="1" s="1"/>
  <c r="P106" i="1"/>
  <c r="R106" i="1" s="1"/>
  <c r="P117" i="1"/>
  <c r="R117" i="1" s="1"/>
  <c r="P102" i="1"/>
  <c r="R102" i="1" s="1"/>
  <c r="P100" i="1"/>
  <c r="R100" i="1" s="1"/>
  <c r="P115" i="1"/>
  <c r="P98" i="1"/>
  <c r="R98" i="1" s="1"/>
  <c r="P111" i="1"/>
  <c r="R111" i="1" s="1"/>
  <c r="Q86" i="1"/>
  <c r="B600"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519" i="1"/>
  <c r="D444" i="1"/>
  <c r="P405" i="1"/>
  <c r="B405" i="1"/>
  <c r="P415" i="1"/>
  <c r="B415" i="1"/>
  <c r="R123" i="1" l="1"/>
  <c r="R115" i="1"/>
  <c r="H35" i="1"/>
  <c r="H36" i="1"/>
  <c r="H37" i="1"/>
  <c r="H38" i="1"/>
  <c r="H39" i="1"/>
  <c r="H34" i="1"/>
  <c r="G606" i="1" l="1"/>
  <c r="B183" i="1" l="1"/>
  <c r="B191" i="1"/>
  <c r="B182" i="1"/>
  <c r="B309" i="1"/>
  <c r="B165" i="1"/>
  <c r="B187" i="1"/>
  <c r="B195" i="1"/>
  <c r="B152" i="1"/>
  <c r="B178" i="1"/>
  <c r="B200" i="1"/>
  <c r="B223" i="1"/>
  <c r="B205" i="1"/>
  <c r="B161" i="1"/>
  <c r="B176" i="1"/>
  <c r="B162" i="1"/>
  <c r="B175" i="1"/>
  <c r="B208" i="1"/>
  <c r="B155" i="1"/>
  <c r="B154" i="1"/>
  <c r="B211" i="1"/>
  <c r="B335" i="1"/>
  <c r="B225" i="1"/>
  <c r="B295" i="1"/>
  <c r="B212" i="1"/>
  <c r="B360" i="1"/>
  <c r="B343" i="1"/>
  <c r="B339" i="1"/>
  <c r="B388" i="1"/>
  <c r="B261" i="1"/>
  <c r="B302" i="1"/>
  <c r="B328" i="1"/>
  <c r="B290" i="1"/>
  <c r="B412" i="1"/>
  <c r="B435" i="1"/>
  <c r="B403" i="1"/>
  <c r="B436" i="1"/>
  <c r="B216" i="1"/>
  <c r="B239" i="1"/>
  <c r="B333" i="1"/>
  <c r="B166" i="1"/>
  <c r="B177" i="1"/>
  <c r="B243" i="1"/>
  <c r="B319" i="1"/>
  <c r="B312" i="1"/>
  <c r="B418" i="1"/>
  <c r="B273" i="1"/>
  <c r="B347" i="1"/>
  <c r="B353" i="1"/>
  <c r="B245" i="1"/>
  <c r="B288" i="1"/>
  <c r="B238" i="1"/>
  <c r="B329" i="1"/>
  <c r="B233" i="1"/>
  <c r="B299" i="1"/>
  <c r="B249" i="1"/>
  <c r="B297" i="1"/>
  <c r="B320" i="1"/>
  <c r="B237" i="1"/>
  <c r="B220" i="1"/>
  <c r="B265" i="1"/>
  <c r="B322" i="1"/>
  <c r="B306" i="1"/>
  <c r="B263" i="1"/>
  <c r="B429" i="1"/>
  <c r="B430" i="1"/>
  <c r="B395" i="1"/>
  <c r="B437" i="1"/>
  <c r="B168" i="1"/>
  <c r="B158" i="1"/>
  <c r="B174" i="1"/>
  <c r="B196" i="1"/>
  <c r="B171" i="1"/>
  <c r="B188" i="1"/>
  <c r="B294" i="1"/>
  <c r="B283" i="1"/>
  <c r="B199" i="1"/>
  <c r="B227" i="1"/>
  <c r="B159" i="1"/>
  <c r="B164" i="1"/>
  <c r="B157" i="1"/>
  <c r="B193" i="1"/>
  <c r="B192" i="1"/>
  <c r="B169" i="1"/>
  <c r="B215" i="1"/>
  <c r="B189" i="1"/>
  <c r="B170" i="1"/>
  <c r="B241" i="1"/>
  <c r="B194" i="1"/>
  <c r="B284" i="1"/>
  <c r="B318" i="1"/>
  <c r="B156" i="1"/>
  <c r="B260" i="1"/>
  <c r="B250" i="1"/>
  <c r="B303" i="1"/>
  <c r="B331" i="1"/>
  <c r="B270" i="1"/>
  <c r="B307" i="1"/>
  <c r="B380" i="1"/>
  <c r="B371" i="1"/>
  <c r="B313" i="1"/>
  <c r="B352" i="1"/>
  <c r="B244" i="1"/>
  <c r="B321" i="1"/>
  <c r="B236" i="1"/>
  <c r="B301" i="1"/>
  <c r="B298" i="1"/>
  <c r="B214" i="1"/>
  <c r="B300" i="1"/>
  <c r="B286" i="1"/>
  <c r="B232" i="1"/>
  <c r="B361" i="1"/>
  <c r="B308" i="1"/>
  <c r="B197" i="1"/>
  <c r="B291" i="1"/>
  <c r="B349" i="1"/>
  <c r="B391" i="1"/>
  <c r="B376" i="1"/>
  <c r="B362" i="1"/>
  <c r="B422" i="1"/>
  <c r="B336" i="1"/>
  <c r="B423" i="1"/>
  <c r="B419" i="1"/>
  <c r="B406" i="1"/>
  <c r="B424" i="1"/>
  <c r="B409" i="1"/>
  <c r="B226" i="1"/>
  <c r="B209" i="1"/>
  <c r="B229" i="1"/>
  <c r="B228" i="1"/>
  <c r="B334" i="1"/>
  <c r="B363" i="1"/>
  <c r="B271" i="1"/>
  <c r="B210" i="1"/>
  <c r="B327" i="1"/>
  <c r="B381" i="1"/>
  <c r="B314" i="1"/>
  <c r="B252" i="1"/>
  <c r="B340" i="1"/>
  <c r="B201" i="1"/>
  <c r="B248" i="1"/>
  <c r="B203" i="1"/>
  <c r="B341" i="1"/>
  <c r="B181" i="1"/>
  <c r="B342" i="1"/>
  <c r="B332" i="1"/>
  <c r="B410" i="1"/>
  <c r="B231" i="1"/>
  <c r="B221" i="1"/>
  <c r="B184" i="1"/>
  <c r="B324" i="1"/>
  <c r="B204" i="1"/>
  <c r="B323" i="1"/>
  <c r="B222" i="1"/>
  <c r="B253" i="1"/>
  <c r="B407" i="1"/>
  <c r="B416" i="1"/>
  <c r="B346" i="1"/>
  <c r="B431" i="1"/>
  <c r="B365" i="1"/>
  <c r="B392" i="1"/>
  <c r="B268" i="1"/>
  <c r="B256" i="1"/>
  <c r="B372" i="1"/>
  <c r="B377" i="1"/>
  <c r="B277" i="1"/>
  <c r="B374" i="1"/>
  <c r="B394" i="1"/>
  <c r="B396" i="1"/>
  <c r="B411" i="1"/>
  <c r="B259" i="1"/>
  <c r="B348" i="1"/>
  <c r="B338" i="1"/>
  <c r="B275" i="1"/>
  <c r="B401" i="1"/>
  <c r="B258" i="1"/>
  <c r="B389" i="1"/>
  <c r="B266" i="1"/>
  <c r="B402" i="1"/>
  <c r="B373" i="1"/>
  <c r="B272" i="1"/>
  <c r="B420" i="1"/>
  <c r="B242" i="1"/>
  <c r="B278" i="1"/>
  <c r="B370" i="1"/>
  <c r="B274" i="1"/>
  <c r="B289" i="1"/>
  <c r="B379" i="1"/>
  <c r="B190" i="1"/>
  <c r="B287" i="1"/>
  <c r="B282" i="1"/>
  <c r="B367" i="1"/>
  <c r="B279" i="1"/>
  <c r="B251" i="1"/>
  <c r="B316" i="1"/>
  <c r="B269" i="1"/>
  <c r="B417" i="1"/>
  <c r="B206" i="1"/>
  <c r="B160" i="1"/>
  <c r="B364" i="1"/>
  <c r="B350" i="1"/>
  <c r="B180" i="1"/>
  <c r="B198" i="1"/>
  <c r="B264" i="1"/>
  <c r="B344" i="1"/>
  <c r="B358" i="1"/>
  <c r="B325" i="1"/>
  <c r="B397" i="1"/>
  <c r="B390" i="1"/>
  <c r="B293" i="1"/>
  <c r="B398" i="1"/>
  <c r="B378" i="1"/>
  <c r="B413" i="1"/>
  <c r="B354" i="1"/>
  <c r="B247" i="1"/>
  <c r="B385" i="1"/>
  <c r="B357" i="1"/>
  <c r="B393" i="1"/>
  <c r="B326" i="1"/>
  <c r="B304" i="1"/>
  <c r="B267" i="1"/>
  <c r="B366" i="1"/>
  <c r="B337" i="1"/>
  <c r="B351" i="1"/>
  <c r="B207" i="1"/>
  <c r="B167" i="1"/>
  <c r="B262" i="1"/>
  <c r="B179" i="1"/>
  <c r="B330" i="1"/>
  <c r="B383" i="1"/>
  <c r="B173" i="1"/>
  <c r="B386" i="1"/>
  <c r="B217" i="1"/>
  <c r="B172" i="1"/>
  <c r="B185" i="1"/>
  <c r="B356" i="1"/>
  <c r="B234" i="1"/>
  <c r="B292" i="1"/>
  <c r="B369" i="1"/>
  <c r="B246" i="1"/>
  <c r="B359" i="1"/>
  <c r="B230" i="1"/>
  <c r="B240" i="1"/>
  <c r="B408" i="1"/>
  <c r="B315" i="1"/>
  <c r="B311" i="1"/>
  <c r="B202" i="1"/>
  <c r="B254" i="1"/>
  <c r="B432" i="1"/>
  <c r="B213" i="1"/>
  <c r="B163" i="1"/>
  <c r="B296" i="1"/>
  <c r="B285" i="1"/>
  <c r="B218" i="1"/>
  <c r="B186" i="1"/>
  <c r="B257" i="1"/>
  <c r="B224" i="1"/>
  <c r="B281" i="1"/>
  <c r="B235" i="1"/>
  <c r="B219" i="1"/>
  <c r="B276" i="1"/>
  <c r="B255" i="1"/>
  <c r="B305" i="1"/>
  <c r="B399" i="1"/>
  <c r="B382" i="1"/>
  <c r="B425" i="1"/>
  <c r="B426" i="1"/>
  <c r="B433" i="1"/>
  <c r="B421" i="1"/>
  <c r="B310" i="1"/>
  <c r="B438" i="1"/>
  <c r="B400" i="1"/>
  <c r="B355" i="1"/>
  <c r="B434" i="1"/>
  <c r="B427" i="1"/>
  <c r="B375" i="1"/>
  <c r="B414" i="1"/>
  <c r="B345" i="1"/>
  <c r="B439" i="1"/>
  <c r="B428" i="1"/>
  <c r="B404" i="1"/>
  <c r="B387" i="1"/>
  <c r="B280" i="1"/>
  <c r="B153" i="1"/>
  <c r="P183" i="1"/>
  <c r="P191" i="1"/>
  <c r="P182" i="1"/>
  <c r="P309" i="1"/>
  <c r="P165" i="1"/>
  <c r="P187" i="1"/>
  <c r="P195" i="1"/>
  <c r="P178" i="1"/>
  <c r="P200" i="1"/>
  <c r="P223" i="1"/>
  <c r="P205" i="1"/>
  <c r="P176" i="1"/>
  <c r="P162" i="1"/>
  <c r="P175" i="1"/>
  <c r="P208" i="1"/>
  <c r="P211" i="1"/>
  <c r="P335" i="1"/>
  <c r="P225" i="1"/>
  <c r="P295" i="1"/>
  <c r="P212" i="1"/>
  <c r="P360" i="1"/>
  <c r="P343" i="1"/>
  <c r="P339" i="1"/>
  <c r="P388" i="1"/>
  <c r="P261" i="1"/>
  <c r="P302" i="1"/>
  <c r="P328" i="1"/>
  <c r="P290" i="1"/>
  <c r="P412" i="1"/>
  <c r="P435" i="1"/>
  <c r="P403" i="1"/>
  <c r="P436" i="1"/>
  <c r="P216" i="1"/>
  <c r="P239" i="1"/>
  <c r="P333" i="1"/>
  <c r="P166" i="1"/>
  <c r="P177" i="1"/>
  <c r="P243" i="1"/>
  <c r="P319" i="1"/>
  <c r="P312" i="1"/>
  <c r="P418" i="1"/>
  <c r="P273" i="1"/>
  <c r="P347" i="1"/>
  <c r="P353" i="1"/>
  <c r="P245" i="1"/>
  <c r="P288" i="1"/>
  <c r="P238" i="1"/>
  <c r="P329" i="1"/>
  <c r="P233" i="1"/>
  <c r="P299" i="1"/>
  <c r="P249" i="1"/>
  <c r="P297" i="1"/>
  <c r="P320" i="1"/>
  <c r="P237" i="1"/>
  <c r="P220" i="1"/>
  <c r="P265" i="1"/>
  <c r="P322" i="1"/>
  <c r="P306" i="1"/>
  <c r="P263" i="1"/>
  <c r="P429" i="1"/>
  <c r="P430" i="1"/>
  <c r="P395" i="1"/>
  <c r="P437" i="1"/>
  <c r="P168" i="1"/>
  <c r="P174" i="1"/>
  <c r="P196" i="1"/>
  <c r="P171" i="1"/>
  <c r="P188" i="1"/>
  <c r="P294" i="1"/>
  <c r="P283" i="1"/>
  <c r="P199" i="1"/>
  <c r="P227" i="1"/>
  <c r="P164" i="1"/>
  <c r="P193" i="1"/>
  <c r="P192" i="1"/>
  <c r="P169" i="1"/>
  <c r="P215" i="1"/>
  <c r="P189" i="1"/>
  <c r="P170" i="1"/>
  <c r="P241" i="1"/>
  <c r="P194" i="1"/>
  <c r="P284" i="1"/>
  <c r="P318" i="1"/>
  <c r="P260" i="1"/>
  <c r="P250" i="1"/>
  <c r="P303" i="1"/>
  <c r="P331" i="1"/>
  <c r="P270" i="1"/>
  <c r="P307" i="1"/>
  <c r="P380" i="1"/>
  <c r="P371" i="1"/>
  <c r="P313" i="1"/>
  <c r="P352" i="1"/>
  <c r="P244" i="1"/>
  <c r="P321" i="1"/>
  <c r="P236" i="1"/>
  <c r="P301" i="1"/>
  <c r="P298" i="1"/>
  <c r="P214" i="1"/>
  <c r="P300" i="1"/>
  <c r="P286" i="1"/>
  <c r="P232" i="1"/>
  <c r="P361" i="1"/>
  <c r="P308" i="1"/>
  <c r="P197" i="1"/>
  <c r="P291" i="1"/>
  <c r="P349" i="1"/>
  <c r="P391" i="1"/>
  <c r="P376" i="1"/>
  <c r="P362" i="1"/>
  <c r="P422" i="1"/>
  <c r="P336" i="1"/>
  <c r="P423" i="1"/>
  <c r="P419" i="1"/>
  <c r="P406" i="1"/>
  <c r="P424" i="1"/>
  <c r="P409" i="1"/>
  <c r="P226" i="1"/>
  <c r="P209" i="1"/>
  <c r="P229" i="1"/>
  <c r="P228" i="1"/>
  <c r="P334" i="1"/>
  <c r="P363" i="1"/>
  <c r="P271" i="1"/>
  <c r="P210" i="1"/>
  <c r="P327" i="1"/>
  <c r="P381" i="1"/>
  <c r="P314" i="1"/>
  <c r="P252" i="1"/>
  <c r="P340" i="1"/>
  <c r="P201" i="1"/>
  <c r="P248" i="1"/>
  <c r="P203" i="1"/>
  <c r="P341" i="1"/>
  <c r="P181" i="1"/>
  <c r="P342" i="1"/>
  <c r="P332" i="1"/>
  <c r="P410" i="1"/>
  <c r="P231" i="1"/>
  <c r="P221" i="1"/>
  <c r="P184" i="1"/>
  <c r="P324" i="1"/>
  <c r="P204" i="1"/>
  <c r="P323" i="1"/>
  <c r="P222" i="1"/>
  <c r="P253" i="1"/>
  <c r="P407" i="1"/>
  <c r="P416" i="1"/>
  <c r="P346" i="1"/>
  <c r="P431" i="1"/>
  <c r="P365" i="1"/>
  <c r="P392" i="1"/>
  <c r="P268" i="1"/>
  <c r="P256" i="1"/>
  <c r="P372" i="1"/>
  <c r="P377" i="1"/>
  <c r="P277" i="1"/>
  <c r="P374" i="1"/>
  <c r="P394" i="1"/>
  <c r="P396" i="1"/>
  <c r="P411" i="1"/>
  <c r="P259" i="1"/>
  <c r="P348" i="1"/>
  <c r="P338" i="1"/>
  <c r="P275" i="1"/>
  <c r="P401" i="1"/>
  <c r="P258" i="1"/>
  <c r="P389" i="1"/>
  <c r="P266" i="1"/>
  <c r="P402" i="1"/>
  <c r="P373" i="1"/>
  <c r="P272" i="1"/>
  <c r="P420" i="1"/>
  <c r="P242" i="1"/>
  <c r="P278" i="1"/>
  <c r="P370" i="1"/>
  <c r="P274" i="1"/>
  <c r="P289" i="1"/>
  <c r="P379" i="1"/>
  <c r="P190" i="1"/>
  <c r="P287" i="1"/>
  <c r="P282" i="1"/>
  <c r="P367" i="1"/>
  <c r="P279" i="1"/>
  <c r="P251" i="1"/>
  <c r="P316" i="1"/>
  <c r="P269" i="1"/>
  <c r="P417" i="1"/>
  <c r="P206" i="1"/>
  <c r="P364" i="1"/>
  <c r="P350" i="1"/>
  <c r="P180" i="1"/>
  <c r="P198" i="1"/>
  <c r="P264" i="1"/>
  <c r="P344" i="1"/>
  <c r="P358" i="1"/>
  <c r="P325" i="1"/>
  <c r="P397" i="1"/>
  <c r="P390" i="1"/>
  <c r="P293" i="1"/>
  <c r="P398" i="1"/>
  <c r="P378" i="1"/>
  <c r="P413" i="1"/>
  <c r="P354" i="1"/>
  <c r="P247" i="1"/>
  <c r="P385" i="1"/>
  <c r="P357" i="1"/>
  <c r="P393" i="1"/>
  <c r="P326" i="1"/>
  <c r="P304" i="1"/>
  <c r="P267" i="1"/>
  <c r="P366" i="1"/>
  <c r="P337" i="1"/>
  <c r="P351" i="1"/>
  <c r="P207" i="1"/>
  <c r="P167" i="1"/>
  <c r="P262" i="1"/>
  <c r="P179" i="1"/>
  <c r="P330" i="1"/>
  <c r="P383" i="1"/>
  <c r="P173" i="1"/>
  <c r="P386" i="1"/>
  <c r="P217" i="1"/>
  <c r="P172" i="1"/>
  <c r="P185" i="1"/>
  <c r="P356" i="1"/>
  <c r="P234" i="1"/>
  <c r="P292" i="1"/>
  <c r="P369" i="1"/>
  <c r="P246" i="1"/>
  <c r="P359" i="1"/>
  <c r="P230" i="1"/>
  <c r="P240" i="1"/>
  <c r="P408" i="1"/>
  <c r="P315" i="1"/>
  <c r="P311" i="1"/>
  <c r="P202" i="1"/>
  <c r="P254" i="1"/>
  <c r="P432" i="1"/>
  <c r="P213" i="1"/>
  <c r="P163" i="1"/>
  <c r="P296" i="1"/>
  <c r="P285" i="1"/>
  <c r="P218" i="1"/>
  <c r="P186" i="1"/>
  <c r="P257" i="1"/>
  <c r="P224" i="1"/>
  <c r="P281" i="1"/>
  <c r="P235" i="1"/>
  <c r="P219" i="1"/>
  <c r="P276" i="1"/>
  <c r="P255" i="1"/>
  <c r="P305" i="1"/>
  <c r="P399" i="1"/>
  <c r="P382" i="1"/>
  <c r="P425" i="1"/>
  <c r="P426" i="1"/>
  <c r="P433" i="1"/>
  <c r="P421" i="1"/>
  <c r="P310" i="1"/>
  <c r="P438" i="1"/>
  <c r="P400" i="1"/>
  <c r="P355" i="1"/>
  <c r="P434" i="1"/>
  <c r="P427" i="1"/>
  <c r="P375" i="1"/>
  <c r="P414" i="1"/>
  <c r="P345" i="1"/>
  <c r="P439" i="1"/>
  <c r="P428" i="1"/>
  <c r="P404" i="1"/>
  <c r="P387" i="1"/>
  <c r="P280" i="1"/>
  <c r="G86" i="1" l="1"/>
  <c r="P598" i="1" l="1"/>
  <c r="P597" i="1"/>
  <c r="P596" i="1"/>
  <c r="P101" i="1"/>
  <c r="P57" i="1" l="1"/>
  <c r="R57" i="1" s="1"/>
  <c r="P592" i="1" l="1"/>
  <c r="P593" i="1"/>
  <c r="P594" i="1"/>
  <c r="P595" i="1"/>
  <c r="P535" i="1"/>
  <c r="P551" i="1"/>
  <c r="P554" i="1"/>
  <c r="P564" i="1"/>
  <c r="P566" i="1"/>
  <c r="P567" i="1"/>
  <c r="P568" i="1"/>
  <c r="P569" i="1"/>
  <c r="P570" i="1"/>
  <c r="P572" i="1"/>
  <c r="P575" i="1"/>
  <c r="P578" i="1"/>
  <c r="P580" i="1"/>
  <c r="P581" i="1"/>
  <c r="P582" i="1"/>
  <c r="P583" i="1"/>
  <c r="P584" i="1"/>
  <c r="P585" i="1"/>
  <c r="P586" i="1"/>
  <c r="P587" i="1"/>
  <c r="P588" i="1"/>
  <c r="P590" i="1"/>
  <c r="P591" i="1"/>
  <c r="P519" i="1"/>
  <c r="P520" i="1"/>
  <c r="P521" i="1"/>
  <c r="P522" i="1"/>
  <c r="P523" i="1"/>
  <c r="P524" i="1"/>
  <c r="P525" i="1"/>
  <c r="P526" i="1"/>
  <c r="P527" i="1"/>
  <c r="P528" i="1"/>
  <c r="P529" i="1"/>
  <c r="P530" i="1"/>
  <c r="P531" i="1"/>
  <c r="P532" i="1"/>
  <c r="P533" i="1"/>
  <c r="P534" i="1"/>
  <c r="P536" i="1"/>
  <c r="P537" i="1"/>
  <c r="P538" i="1"/>
  <c r="P539" i="1"/>
  <c r="P540" i="1"/>
  <c r="P541" i="1"/>
  <c r="P542" i="1"/>
  <c r="P543" i="1"/>
  <c r="P544" i="1"/>
  <c r="P545" i="1"/>
  <c r="P546" i="1"/>
  <c r="P547" i="1"/>
  <c r="P548" i="1"/>
  <c r="P549" i="1"/>
  <c r="P550" i="1"/>
  <c r="P552" i="1"/>
  <c r="P553" i="1"/>
  <c r="P555" i="1"/>
  <c r="P556" i="1"/>
  <c r="P557" i="1"/>
  <c r="P558" i="1"/>
  <c r="P559" i="1"/>
  <c r="P560" i="1"/>
  <c r="P561" i="1"/>
  <c r="P562" i="1"/>
  <c r="P563" i="1"/>
  <c r="P565" i="1"/>
  <c r="P571" i="1"/>
  <c r="P573" i="1"/>
  <c r="P574" i="1"/>
  <c r="P576" i="1"/>
  <c r="P577" i="1"/>
  <c r="P579" i="1"/>
  <c r="P589" i="1"/>
  <c r="F606" i="1"/>
  <c r="H606" i="1"/>
  <c r="I606" i="1"/>
  <c r="J606" i="1"/>
  <c r="K606" i="1"/>
  <c r="M606" i="1"/>
  <c r="N606" i="1"/>
  <c r="O606" i="1"/>
  <c r="P607" i="1" l="1"/>
  <c r="P606" i="1"/>
  <c r="E606" i="1"/>
  <c r="Q602" i="1" l="1"/>
  <c r="Q528" i="1"/>
  <c r="Q601" i="1"/>
  <c r="Q597" i="1"/>
  <c r="Q598" i="1"/>
  <c r="Q596" i="1"/>
  <c r="Q592" i="1"/>
  <c r="Q593" i="1"/>
  <c r="Q594" i="1"/>
  <c r="Q595" i="1"/>
  <c r="C95" i="1" l="1"/>
  <c r="C452" i="1" s="1"/>
  <c r="C477" i="1" s="1"/>
  <c r="P96" i="1"/>
  <c r="R34" i="2" l="1"/>
  <c r="Q1" i="2"/>
  <c r="F71" i="2"/>
  <c r="G71" i="2"/>
  <c r="H71" i="2"/>
  <c r="I71" i="2"/>
  <c r="J71" i="2"/>
  <c r="K71" i="2"/>
  <c r="L71" i="2"/>
  <c r="M71" i="2"/>
  <c r="N71" i="2"/>
  <c r="O71" i="2"/>
  <c r="P71" i="2"/>
  <c r="Q71"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39" i="2"/>
  <c r="E71" i="2"/>
  <c r="R71" i="2" l="1"/>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Q11" i="2"/>
  <c r="S11" i="2" s="1"/>
  <c r="Q5" i="2"/>
  <c r="S5" i="2" s="1"/>
  <c r="Q2" i="2"/>
  <c r="S2" i="2" s="1"/>
  <c r="Q33" i="2"/>
  <c r="S33" i="2" s="1"/>
  <c r="Q24" i="2"/>
  <c r="S24" i="2" s="1"/>
  <c r="Q21" i="2"/>
  <c r="S21" i="2" s="1"/>
  <c r="Q16" i="2"/>
  <c r="S16" i="2" s="1"/>
  <c r="Q32" i="2"/>
  <c r="S32" i="2" s="1"/>
  <c r="Q18" i="2"/>
  <c r="S18" i="2" s="1"/>
  <c r="Q27" i="2"/>
  <c r="S27" i="2" s="1"/>
  <c r="Q23" i="2"/>
  <c r="S23" i="2" s="1"/>
  <c r="Q14" i="2"/>
  <c r="S14" i="2" s="1"/>
  <c r="Q29" i="2"/>
  <c r="S29" i="2" s="1"/>
  <c r="Q31" i="2"/>
  <c r="S31" i="2" s="1"/>
  <c r="Q19" i="2"/>
  <c r="S19" i="2" s="1"/>
  <c r="Q26" i="2"/>
  <c r="S26" i="2" s="1"/>
  <c r="Q30" i="2"/>
  <c r="S30" i="2" s="1"/>
  <c r="Q13" i="2"/>
  <c r="S13" i="2" s="1"/>
  <c r="P34" i="2"/>
  <c r="O34" i="2"/>
  <c r="N34" i="2"/>
  <c r="M34" i="2"/>
  <c r="L34" i="2"/>
  <c r="K34" i="2"/>
  <c r="J34" i="2"/>
  <c r="I34" i="2"/>
  <c r="H34" i="2"/>
  <c r="G34" i="2"/>
  <c r="F34" i="2"/>
  <c r="Q28" i="2"/>
  <c r="S28" i="2" s="1"/>
  <c r="Q25" i="2"/>
  <c r="S25" i="2" s="1"/>
  <c r="Q20" i="2"/>
  <c r="S20" i="2" s="1"/>
  <c r="Q22" i="2"/>
  <c r="S22" i="2" s="1"/>
  <c r="Q17" i="2"/>
  <c r="S17" i="2" s="1"/>
  <c r="Q12" i="2"/>
  <c r="S12" i="2" s="1"/>
  <c r="Q8" i="2"/>
  <c r="S8" i="2" s="1"/>
  <c r="Q15" i="2"/>
  <c r="S15" i="2" s="1"/>
  <c r="Q10" i="2"/>
  <c r="S10" i="2" s="1"/>
  <c r="Q7" i="2"/>
  <c r="S7" i="2" s="1"/>
  <c r="Q3" i="2"/>
  <c r="S3" i="2" s="1"/>
  <c r="Q9" i="2"/>
  <c r="S9" i="2" s="1"/>
  <c r="Q4" i="2"/>
  <c r="S4" i="2" s="1"/>
  <c r="Q6" i="2"/>
  <c r="S6" i="2" s="1"/>
  <c r="S39" i="2" l="1"/>
  <c r="E34" i="2"/>
  <c r="Q34" i="2"/>
  <c r="O626" i="1" l="1"/>
  <c r="N626" i="1"/>
  <c r="M626" i="1"/>
  <c r="L626" i="1"/>
  <c r="K626" i="1"/>
  <c r="J626" i="1"/>
  <c r="I626" i="1"/>
  <c r="H626" i="1"/>
  <c r="G626" i="1"/>
  <c r="F626" i="1"/>
  <c r="E626" i="1"/>
  <c r="D626" i="1"/>
  <c r="C610" i="1"/>
  <c r="P518" i="1"/>
  <c r="C512" i="1"/>
  <c r="Q504" i="1"/>
  <c r="N504" i="1"/>
  <c r="M504" i="1"/>
  <c r="L504" i="1"/>
  <c r="K504" i="1"/>
  <c r="J504" i="1"/>
  <c r="I504" i="1"/>
  <c r="H504" i="1"/>
  <c r="G504" i="1"/>
  <c r="F504" i="1"/>
  <c r="E504" i="1"/>
  <c r="D504" i="1"/>
  <c r="P496" i="1"/>
  <c r="R496" i="1" s="1"/>
  <c r="P500" i="1"/>
  <c r="R500" i="1" s="1"/>
  <c r="P492" i="1"/>
  <c r="R492" i="1" s="1"/>
  <c r="P499" i="1"/>
  <c r="R499" i="1" s="1"/>
  <c r="P491" i="1"/>
  <c r="R491" i="1" s="1"/>
  <c r="P497" i="1"/>
  <c r="R497" i="1" s="1"/>
  <c r="P493" i="1"/>
  <c r="R493" i="1" s="1"/>
  <c r="P498" i="1"/>
  <c r="R498" i="1" s="1"/>
  <c r="P495" i="1"/>
  <c r="R495" i="1" s="1"/>
  <c r="P501" i="1"/>
  <c r="P502" i="1"/>
  <c r="P494" i="1"/>
  <c r="R494" i="1" s="1"/>
  <c r="P487" i="1"/>
  <c r="R487" i="1" s="1"/>
  <c r="P488" i="1"/>
  <c r="R488" i="1" s="1"/>
  <c r="P489" i="1"/>
  <c r="R489" i="1" s="1"/>
  <c r="P490" i="1"/>
  <c r="R490" i="1" s="1"/>
  <c r="P486" i="1"/>
  <c r="R486" i="1" s="1"/>
  <c r="P503" i="1"/>
  <c r="P483" i="1"/>
  <c r="R483" i="1" s="1"/>
  <c r="P485" i="1"/>
  <c r="R485" i="1" s="1"/>
  <c r="P481" i="1"/>
  <c r="R481" i="1" s="1"/>
  <c r="P484" i="1"/>
  <c r="R484" i="1" s="1"/>
  <c r="P482" i="1"/>
  <c r="R482" i="1" s="1"/>
  <c r="P479" i="1"/>
  <c r="R479" i="1" s="1"/>
  <c r="P480" i="1"/>
  <c r="R480" i="1" s="1"/>
  <c r="Q478" i="1"/>
  <c r="P478" i="1"/>
  <c r="C473" i="1"/>
  <c r="O468" i="1"/>
  <c r="N468" i="1"/>
  <c r="M468" i="1"/>
  <c r="L468" i="1"/>
  <c r="K468" i="1"/>
  <c r="J468" i="1"/>
  <c r="I468" i="1"/>
  <c r="H468" i="1"/>
  <c r="G468" i="1"/>
  <c r="F468" i="1"/>
  <c r="E468" i="1"/>
  <c r="P467" i="1"/>
  <c r="R467" i="1" s="1"/>
  <c r="P464" i="1"/>
  <c r="P461" i="1"/>
  <c r="R461" i="1" s="1"/>
  <c r="P460" i="1"/>
  <c r="P463" i="1"/>
  <c r="P462" i="1"/>
  <c r="P465" i="1"/>
  <c r="P459" i="1"/>
  <c r="P457" i="1"/>
  <c r="P466" i="1"/>
  <c r="P458" i="1"/>
  <c r="P454" i="1"/>
  <c r="P455" i="1"/>
  <c r="D468" i="1"/>
  <c r="P453" i="1"/>
  <c r="C447" i="1"/>
  <c r="O444" i="1"/>
  <c r="N444" i="1"/>
  <c r="M444" i="1"/>
  <c r="L444" i="1"/>
  <c r="K444" i="1"/>
  <c r="J444" i="1"/>
  <c r="I444" i="1"/>
  <c r="H444" i="1"/>
  <c r="G444" i="1"/>
  <c r="F444" i="1"/>
  <c r="E444" i="1"/>
  <c r="P151" i="1"/>
  <c r="C147" i="1"/>
  <c r="O145" i="1"/>
  <c r="N145" i="1"/>
  <c r="M145" i="1"/>
  <c r="L145" i="1"/>
  <c r="K145" i="1"/>
  <c r="J145" i="1"/>
  <c r="I145" i="1"/>
  <c r="H145" i="1"/>
  <c r="G145" i="1"/>
  <c r="F145" i="1"/>
  <c r="E145" i="1"/>
  <c r="D145" i="1"/>
  <c r="P144" i="1"/>
  <c r="P143" i="1"/>
  <c r="P142" i="1"/>
  <c r="P141" i="1"/>
  <c r="P140" i="1"/>
  <c r="P139" i="1"/>
  <c r="P138" i="1"/>
  <c r="C134" i="1"/>
  <c r="O129" i="1"/>
  <c r="N129" i="1"/>
  <c r="M129" i="1"/>
  <c r="L129" i="1"/>
  <c r="K129" i="1"/>
  <c r="J129" i="1"/>
  <c r="I129" i="1"/>
  <c r="H129" i="1"/>
  <c r="G129" i="1"/>
  <c r="F129" i="1"/>
  <c r="E129" i="1"/>
  <c r="D129" i="1"/>
  <c r="R101" i="1"/>
  <c r="Q96" i="1"/>
  <c r="C91" i="1"/>
  <c r="O86" i="1"/>
  <c r="N86" i="1"/>
  <c r="M86" i="1"/>
  <c r="L86" i="1"/>
  <c r="K86" i="1"/>
  <c r="J86" i="1"/>
  <c r="I86" i="1"/>
  <c r="H86" i="1"/>
  <c r="F86" i="1"/>
  <c r="E86" i="1"/>
  <c r="D86" i="1"/>
  <c r="P80" i="1"/>
  <c r="R80" i="1" s="1"/>
  <c r="P81" i="1"/>
  <c r="R81" i="1" s="1"/>
  <c r="P79" i="1"/>
  <c r="R79" i="1" s="1"/>
  <c r="P83" i="1"/>
  <c r="R83" i="1" s="1"/>
  <c r="P85" i="1"/>
  <c r="R85" i="1" s="1"/>
  <c r="P72" i="1"/>
  <c r="R72" i="1" s="1"/>
  <c r="P74" i="1"/>
  <c r="R74" i="1" s="1"/>
  <c r="P77" i="1"/>
  <c r="R77" i="1" s="1"/>
  <c r="P84" i="1"/>
  <c r="R84" i="1" s="1"/>
  <c r="P73" i="1"/>
  <c r="R73" i="1" s="1"/>
  <c r="P68" i="1"/>
  <c r="R68" i="1" s="1"/>
  <c r="P82" i="1"/>
  <c r="R82" i="1" s="1"/>
  <c r="P75" i="1"/>
  <c r="R75" i="1" s="1"/>
  <c r="P69" i="1"/>
  <c r="R69" i="1" s="1"/>
  <c r="P78" i="1"/>
  <c r="R78" i="1" s="1"/>
  <c r="P70" i="1"/>
  <c r="R70" i="1" s="1"/>
  <c r="P65" i="1"/>
  <c r="R65" i="1" s="1"/>
  <c r="P64" i="1"/>
  <c r="R64" i="1" s="1"/>
  <c r="P71" i="1"/>
  <c r="R71" i="1" s="1"/>
  <c r="P76" i="1"/>
  <c r="R76" i="1" s="1"/>
  <c r="P66" i="1"/>
  <c r="R66" i="1" s="1"/>
  <c r="P60" i="1"/>
  <c r="R60" i="1" s="1"/>
  <c r="P63" i="1"/>
  <c r="R63" i="1" s="1"/>
  <c r="P61" i="1"/>
  <c r="R61" i="1" s="1"/>
  <c r="P67" i="1"/>
  <c r="R67" i="1" s="1"/>
  <c r="P58" i="1"/>
  <c r="R58" i="1" s="1"/>
  <c r="P59" i="1"/>
  <c r="R59" i="1" s="1"/>
  <c r="P54" i="1"/>
  <c r="R54" i="1" s="1"/>
  <c r="P62" i="1"/>
  <c r="R62" i="1" s="1"/>
  <c r="P55" i="1"/>
  <c r="R55" i="1" s="1"/>
  <c r="P53" i="1"/>
  <c r="R53" i="1" s="1"/>
  <c r="P56" i="1"/>
  <c r="R56" i="1" s="1"/>
  <c r="C45" i="1"/>
  <c r="O40" i="1"/>
  <c r="N40" i="1"/>
  <c r="M40" i="1"/>
  <c r="L40" i="1"/>
  <c r="K40" i="1"/>
  <c r="J40" i="1"/>
  <c r="I40" i="1"/>
  <c r="H40" i="1"/>
  <c r="G40" i="1"/>
  <c r="F40" i="1"/>
  <c r="E40" i="1"/>
  <c r="D40" i="1"/>
  <c r="P39" i="1"/>
  <c r="P37" i="1"/>
  <c r="P38" i="1"/>
  <c r="P36" i="1"/>
  <c r="P34" i="1"/>
  <c r="P35" i="1"/>
  <c r="C26" i="1"/>
  <c r="O24" i="1"/>
  <c r="N24" i="1"/>
  <c r="M24" i="1"/>
  <c r="L24" i="1"/>
  <c r="K24" i="1"/>
  <c r="J24" i="1"/>
  <c r="I24" i="1"/>
  <c r="H24" i="1"/>
  <c r="G24" i="1"/>
  <c r="F24" i="1"/>
  <c r="E24" i="1"/>
  <c r="D24" i="1"/>
  <c r="P23" i="1"/>
  <c r="P22" i="1"/>
  <c r="P21" i="1"/>
  <c r="O12" i="1"/>
  <c r="N12" i="1"/>
  <c r="M12" i="1"/>
  <c r="L12" i="1"/>
  <c r="K12" i="1"/>
  <c r="I12" i="1"/>
  <c r="H12" i="1"/>
  <c r="G12" i="1"/>
  <c r="F12" i="1"/>
  <c r="E12" i="1"/>
  <c r="D12" i="1"/>
  <c r="P11" i="1"/>
  <c r="P10" i="1"/>
  <c r="P129" i="1" l="1"/>
  <c r="P456" i="1"/>
  <c r="R456" i="1" s="1"/>
  <c r="P145" i="1"/>
  <c r="P12" i="1"/>
  <c r="R464" i="1"/>
  <c r="R460" i="1"/>
  <c r="R454" i="1"/>
  <c r="R455" i="1"/>
  <c r="E620" i="1"/>
  <c r="E621" i="1" s="1"/>
  <c r="P24" i="1"/>
  <c r="R457" i="1"/>
  <c r="P626" i="1"/>
  <c r="Q468" i="1"/>
  <c r="R459" i="1"/>
  <c r="G620" i="1"/>
  <c r="G621" i="1" s="1"/>
  <c r="D620" i="1"/>
  <c r="D621" i="1" s="1"/>
  <c r="H620" i="1"/>
  <c r="H621" i="1" s="1"/>
  <c r="I620" i="1"/>
  <c r="I621" i="1" s="1"/>
  <c r="R465" i="1"/>
  <c r="F620" i="1"/>
  <c r="F621" i="1" s="1"/>
  <c r="J620" i="1"/>
  <c r="J621" i="1" s="1"/>
  <c r="K620" i="1"/>
  <c r="K621" i="1" s="1"/>
  <c r="R462" i="1"/>
  <c r="P40" i="1"/>
  <c r="M620" i="1"/>
  <c r="M621" i="1" s="1"/>
  <c r="R458" i="1"/>
  <c r="N620" i="1"/>
  <c r="N621" i="1" s="1"/>
  <c r="R463" i="1"/>
  <c r="O620" i="1"/>
  <c r="O621" i="1" s="1"/>
  <c r="R466" i="1"/>
  <c r="L620" i="1"/>
  <c r="L621" i="1" s="1"/>
  <c r="P444" i="1"/>
  <c r="P86" i="1"/>
  <c r="P504" i="1"/>
  <c r="Q384" i="1" l="1"/>
  <c r="Q317" i="1"/>
  <c r="Q415" i="1"/>
  <c r="Q405" i="1"/>
  <c r="Q427" i="1"/>
  <c r="Q387" i="1"/>
  <c r="Q375" i="1"/>
  <c r="Q414" i="1"/>
  <c r="Q345" i="1"/>
  <c r="Q428" i="1"/>
  <c r="Q404" i="1"/>
  <c r="Q280" i="1"/>
  <c r="Q439" i="1"/>
  <c r="Q139" i="1"/>
  <c r="Q144" i="1"/>
  <c r="Q37" i="1"/>
  <c r="Q35" i="1"/>
  <c r="P468" i="1"/>
  <c r="P620" i="1" s="1"/>
  <c r="P621" i="1" s="1"/>
  <c r="Q355" i="1"/>
  <c r="Q434" i="1"/>
  <c r="Q351" i="1"/>
  <c r="Q400" i="1"/>
  <c r="Q34" i="1"/>
  <c r="Q143" i="1"/>
  <c r="Q140" i="1"/>
  <c r="Q141" i="1"/>
  <c r="Q142" i="1"/>
  <c r="Q199" i="1"/>
  <c r="Q417" i="1"/>
  <c r="Q296" i="1"/>
  <c r="Q194" i="1"/>
  <c r="Q380" i="1"/>
  <c r="Q364" i="1"/>
  <c r="Q336" i="1"/>
  <c r="Q179" i="1"/>
  <c r="Q172" i="1"/>
  <c r="Q363" i="1"/>
  <c r="Q289" i="1"/>
  <c r="Q170" i="1"/>
  <c r="Q252" i="1"/>
  <c r="Q431" i="1"/>
  <c r="Q254" i="1"/>
  <c r="Q343" i="1"/>
  <c r="Q260" i="1"/>
  <c r="Q309" i="1"/>
  <c r="Q291" i="1"/>
  <c r="Q341" i="1"/>
  <c r="Q161" i="1"/>
  <c r="Q186" i="1"/>
  <c r="Q413" i="1"/>
  <c r="Q426" i="1"/>
  <c r="Q218" i="1"/>
  <c r="Q423" i="1"/>
  <c r="Q407" i="1"/>
  <c r="Q402" i="1"/>
  <c r="Q349" i="1"/>
  <c r="Q164" i="1"/>
  <c r="Q432" i="1"/>
  <c r="Q377" i="1"/>
  <c r="Q231" i="1"/>
  <c r="Q410" i="1"/>
  <c r="Q356" i="1"/>
  <c r="Q203" i="1"/>
  <c r="Q214" i="1"/>
  <c r="Q240" i="1"/>
  <c r="Q160" i="1"/>
  <c r="Q308" i="1"/>
  <c r="Q385" i="1"/>
  <c r="Q290" i="1"/>
  <c r="Q269" i="1"/>
  <c r="Q267" i="1"/>
  <c r="Q335" i="1"/>
  <c r="Q171" i="1"/>
  <c r="Q270" i="1"/>
  <c r="Q222" i="1"/>
  <c r="Q312" i="1"/>
  <c r="Q369" i="1"/>
  <c r="Q381" i="1"/>
  <c r="Q234" i="1"/>
  <c r="Q424" i="1"/>
  <c r="Q386" i="1"/>
  <c r="Q318" i="1"/>
  <c r="Q323" i="1"/>
  <c r="Q247" i="1"/>
  <c r="Q180" i="1"/>
  <c r="Q352" i="1"/>
  <c r="Q311" i="1"/>
  <c r="Q187" i="1"/>
  <c r="Q445" i="1"/>
  <c r="Q286" i="1"/>
  <c r="Q154" i="1"/>
  <c r="Q379" i="1"/>
  <c r="Q300" i="1"/>
  <c r="Q202" i="1"/>
  <c r="Q391" i="1"/>
  <c r="Q287" i="1"/>
  <c r="Q257" i="1"/>
  <c r="Q236" i="1"/>
  <c r="Q324" i="1"/>
  <c r="Q249" i="1"/>
  <c r="Q232" i="1"/>
  <c r="Q198" i="1"/>
  <c r="Q361" i="1"/>
  <c r="Q192" i="1"/>
  <c r="Q316" i="1"/>
  <c r="Q326" i="1"/>
  <c r="Q204" i="1"/>
  <c r="Q370" i="1"/>
  <c r="Q250" i="1"/>
  <c r="Q229" i="1"/>
  <c r="Q337" i="1"/>
  <c r="Q401" i="1"/>
  <c r="Q155" i="1"/>
  <c r="Q157" i="1"/>
  <c r="Q174" i="1"/>
  <c r="Q398" i="1"/>
  <c r="Q376" i="1"/>
  <c r="Q383" i="1"/>
  <c r="Q346" i="1"/>
  <c r="Q298" i="1"/>
  <c r="Q395" i="1"/>
  <c r="Q303" i="1"/>
  <c r="Q255" i="1"/>
  <c r="Q224" i="1"/>
  <c r="Q266" i="1"/>
  <c r="Q195" i="1"/>
  <c r="Q188" i="1"/>
  <c r="Q277" i="1"/>
  <c r="Q207" i="1"/>
  <c r="Q297" i="1"/>
  <c r="Q295" i="1"/>
  <c r="Q275" i="1"/>
  <c r="Q394" i="1"/>
  <c r="Q334" i="1"/>
  <c r="Q223" i="1"/>
  <c r="Q392" i="1"/>
  <c r="Q408" i="1"/>
  <c r="Q292" i="1"/>
  <c r="Q389" i="1"/>
  <c r="Q177" i="1"/>
  <c r="Q288" i="1"/>
  <c r="Q273" i="1"/>
  <c r="Q166" i="1"/>
  <c r="Q321" i="1"/>
  <c r="Q411" i="1"/>
  <c r="Q205" i="1"/>
  <c r="Q181" i="1"/>
  <c r="Q230" i="1"/>
  <c r="Q184" i="1"/>
  <c r="Q285" i="1"/>
  <c r="Q165" i="1"/>
  <c r="Q354" i="1"/>
  <c r="Q314" i="1"/>
  <c r="Q259" i="1"/>
  <c r="Q305" i="1"/>
  <c r="Q403" i="1"/>
  <c r="Q329" i="1"/>
  <c r="Q244" i="1"/>
  <c r="Q193" i="1"/>
  <c r="Q350" i="1"/>
  <c r="Q239" i="1"/>
  <c r="Q409" i="1"/>
  <c r="Q256" i="1"/>
  <c r="Q421" i="1"/>
  <c r="Q217" i="1"/>
  <c r="Q220" i="1"/>
  <c r="Q182" i="1"/>
  <c r="Q268" i="1"/>
  <c r="Q243" i="1"/>
  <c r="Q338" i="1"/>
  <c r="Q221" i="1"/>
  <c r="Q226" i="1"/>
  <c r="Q271" i="1"/>
  <c r="Q433" i="1"/>
  <c r="Q200" i="1"/>
  <c r="Q274" i="1"/>
  <c r="Q430" i="1"/>
  <c r="Q339" i="1"/>
  <c r="Q348" i="1"/>
  <c r="Q265" i="1"/>
  <c r="Q153" i="1"/>
  <c r="Q276" i="1"/>
  <c r="Q425" i="1"/>
  <c r="Q393" i="1"/>
  <c r="Q396" i="1"/>
  <c r="Q374" i="1"/>
  <c r="Q313" i="1"/>
  <c r="Q419" i="1"/>
  <c r="Q310" i="1"/>
  <c r="Q406" i="1"/>
  <c r="Q258" i="1"/>
  <c r="Q211" i="1"/>
  <c r="Q365" i="1"/>
  <c r="Q216" i="1"/>
  <c r="Q261" i="1"/>
  <c r="Q332" i="1"/>
  <c r="Q294" i="1"/>
  <c r="Q333" i="1"/>
  <c r="Q167" i="1"/>
  <c r="Q340" i="1"/>
  <c r="Q156" i="1"/>
  <c r="Q263" i="1"/>
  <c r="Q357" i="1"/>
  <c r="Q299" i="1"/>
  <c r="Q325" i="1"/>
  <c r="Q444" i="1"/>
  <c r="Q435" i="1"/>
  <c r="Q191" i="1"/>
  <c r="Q416" i="1"/>
  <c r="Q422" i="1"/>
  <c r="Q235" i="1"/>
  <c r="Q372" i="1"/>
  <c r="Q212" i="1"/>
  <c r="Q245" i="1"/>
  <c r="Q189" i="1"/>
  <c r="Q367" i="1"/>
  <c r="Q362" i="1"/>
  <c r="Q359" i="1"/>
  <c r="Q282" i="1"/>
  <c r="Q241" i="1"/>
  <c r="Q158" i="1"/>
  <c r="Q246" i="1"/>
  <c r="Q213" i="1"/>
  <c r="Q183" i="1"/>
  <c r="Q353" i="1"/>
  <c r="Q159" i="1"/>
  <c r="Q371" i="1"/>
  <c r="Q438" i="1"/>
  <c r="Q390" i="1"/>
  <c r="Q283" i="1"/>
  <c r="Q242" i="1"/>
  <c r="Q307" i="1"/>
  <c r="Q206" i="1"/>
  <c r="Q248" i="1"/>
  <c r="Q281" i="1"/>
  <c r="Q163" i="1"/>
  <c r="Q227" i="1"/>
  <c r="Q253" i="1"/>
  <c r="Q185" i="1"/>
  <c r="Q152" i="1"/>
  <c r="Q319" i="1"/>
  <c r="Q344" i="1"/>
  <c r="Q327" i="1"/>
  <c r="Q293" i="1"/>
  <c r="Q322" i="1"/>
  <c r="Q201" i="1"/>
  <c r="Q279" i="1"/>
  <c r="Q251" i="1"/>
  <c r="Q565" i="1"/>
  <c r="Q306" i="1"/>
  <c r="Q209" i="1"/>
  <c r="Q418" i="1"/>
  <c r="Q328" i="1"/>
  <c r="Q304" i="1"/>
  <c r="Q238" i="1"/>
  <c r="Q197" i="1"/>
  <c r="Q399" i="1"/>
  <c r="Q331" i="1"/>
  <c r="Q358" i="1"/>
  <c r="Q169" i="1"/>
  <c r="Q278" i="1"/>
  <c r="Q233" i="1"/>
  <c r="Q284" i="1"/>
  <c r="Q215" i="1"/>
  <c r="Q342" i="1"/>
  <c r="Q262" i="1"/>
  <c r="Q196" i="1"/>
  <c r="Q173" i="1"/>
  <c r="Q347" i="1"/>
  <c r="Q437" i="1"/>
  <c r="Q228" i="1"/>
  <c r="Q264" i="1"/>
  <c r="Q315" i="1"/>
  <c r="Q320" i="1"/>
  <c r="Q420" i="1"/>
  <c r="Q388" i="1"/>
  <c r="Q436" i="1"/>
  <c r="Q366" i="1"/>
  <c r="Q535" i="1"/>
  <c r="Q175" i="1"/>
  <c r="Q360" i="1"/>
  <c r="Q162" i="1"/>
  <c r="Q397" i="1"/>
  <c r="Q168" i="1"/>
  <c r="Q178" i="1"/>
  <c r="Q237" i="1"/>
  <c r="Q208" i="1"/>
  <c r="Q190" i="1"/>
  <c r="Q378" i="1"/>
  <c r="Q272" i="1"/>
  <c r="Q412" i="1"/>
  <c r="Q373" i="1"/>
  <c r="Q225" i="1"/>
  <c r="Q302" i="1"/>
  <c r="Q36" i="1"/>
  <c r="Q39" i="1"/>
  <c r="Q561" i="1"/>
  <c r="Q519" i="1"/>
  <c r="Q38" i="1"/>
  <c r="Q176" i="1"/>
  <c r="Q330" i="1"/>
  <c r="Q301" i="1"/>
  <c r="Q382" i="1"/>
  <c r="Q589" i="1"/>
  <c r="Q429" i="1"/>
  <c r="Q219" i="1"/>
  <c r="Q210" i="1"/>
  <c r="Q557" i="1"/>
  <c r="Q584" i="1"/>
  <c r="Q576" i="1"/>
  <c r="Q568" i="1"/>
  <c r="Q560" i="1"/>
  <c r="Q552" i="1"/>
  <c r="Q544" i="1"/>
  <c r="Q536" i="1"/>
  <c r="Q522" i="1"/>
  <c r="Q526" i="1"/>
  <c r="Q521" i="1"/>
  <c r="Q588" i="1"/>
  <c r="Q580" i="1"/>
  <c r="Q572" i="1"/>
  <c r="Q564" i="1"/>
  <c r="Q556" i="1"/>
  <c r="Q548" i="1"/>
  <c r="Q540" i="1"/>
  <c r="Q532" i="1"/>
  <c r="Q520" i="1"/>
  <c r="Q527" i="1"/>
  <c r="Q587" i="1"/>
  <c r="Q579" i="1"/>
  <c r="Q571" i="1"/>
  <c r="Q563" i="1"/>
  <c r="Q555" i="1"/>
  <c r="Q547" i="1"/>
  <c r="Q539" i="1"/>
  <c r="Q531" i="1"/>
  <c r="Q586" i="1"/>
  <c r="Q578" i="1"/>
  <c r="Q570" i="1"/>
  <c r="Q562" i="1"/>
  <c r="Q554" i="1"/>
  <c r="Q546" i="1"/>
  <c r="Q538" i="1"/>
  <c r="Q530" i="1"/>
  <c r="Q525" i="1"/>
  <c r="Q581" i="1"/>
  <c r="Q577" i="1"/>
  <c r="Q573" i="1"/>
  <c r="Q545" i="1"/>
  <c r="Q541" i="1"/>
  <c r="Q529" i="1"/>
  <c r="Q523" i="1"/>
  <c r="Q549" i="1"/>
  <c r="Q567" i="1"/>
  <c r="Q551" i="1"/>
  <c r="Q591" i="1"/>
  <c r="Q550" i="1"/>
  <c r="Q575" i="1"/>
  <c r="Q559" i="1"/>
  <c r="Q583" i="1"/>
  <c r="Q533" i="1"/>
  <c r="Q582" i="1"/>
  <c r="Q566" i="1"/>
  <c r="Q534" i="1"/>
  <c r="Q524" i="1"/>
  <c r="Q543" i="1"/>
  <c r="Q590" i="1"/>
  <c r="Q585" i="1"/>
  <c r="Q574" i="1"/>
  <c r="Q569" i="1"/>
  <c r="Q558" i="1"/>
  <c r="Q553" i="1"/>
  <c r="Q542" i="1"/>
  <c r="Q537" i="1"/>
  <c r="Q145" i="1" l="1"/>
  <c r="Q607" i="1"/>
  <c r="Q606" i="1"/>
  <c r="Q40" i="1"/>
</calcChain>
</file>

<file path=xl/sharedStrings.xml><?xml version="1.0" encoding="utf-8"?>
<sst xmlns="http://schemas.openxmlformats.org/spreadsheetml/2006/main" count="1469" uniqueCount="1034">
  <si>
    <t>TOTAL NACIONAL POR TIPO DE RADICACIÓN  </t>
  </si>
  <si>
    <t>CLASIFICACIÓN</t>
  </si>
  <si>
    <t>ENE</t>
  </si>
  <si>
    <t>FEB</t>
  </si>
  <si>
    <t>MAR</t>
  </si>
  <si>
    <t>ABR</t>
  </si>
  <si>
    <t>MAY</t>
  </si>
  <si>
    <t>JUN</t>
  </si>
  <si>
    <t>JUL</t>
  </si>
  <si>
    <t>AGO</t>
  </si>
  <si>
    <t>SEP</t>
  </si>
  <si>
    <t>OCT</t>
  </si>
  <si>
    <t>NOV</t>
  </si>
  <si>
    <t>DIC</t>
  </si>
  <si>
    <t>SOLICITUD DE INFORMACIÓN</t>
  </si>
  <si>
    <t>TOTAL</t>
  </si>
  <si>
    <t>*PETICIONES, QUEJAS, RECLAMOS O DENUNCIAS: DE AHORA EN ADELANTE PQRD</t>
  </si>
  <si>
    <t xml:space="preserve">TABLA 1. TOTAL NACIONAL POR TIPO DE RADICACIÓN  </t>
  </si>
  <si>
    <t>POR TIPO DE PQRD</t>
  </si>
  <si>
    <t xml:space="preserve">PQRD </t>
  </si>
  <si>
    <t>REGULARES</t>
  </si>
  <si>
    <t>SIS</t>
  </si>
  <si>
    <t>TABLA 2. PQRD TIPO DE PQRD</t>
  </si>
  <si>
    <t>PQRD Y SOLICITUDES DE INFORMACIÓN POR CANAL DE RADICACIÓN</t>
  </si>
  <si>
    <t>PQRD Y SOLICITUDES DE INFORMACIÓN</t>
  </si>
  <si>
    <t>CANAL</t>
  </si>
  <si>
    <t>% PARTICIPACIÓN</t>
  </si>
  <si>
    <t>*WEB</t>
  </si>
  <si>
    <t>TELEFÓNICO</t>
  </si>
  <si>
    <t>*PERSONALIZADO</t>
  </si>
  <si>
    <t>ESCRITO</t>
  </si>
  <si>
    <t>CHAT</t>
  </si>
  <si>
    <t>*REDES SOCIALES</t>
  </si>
  <si>
    <t>*WEB: SUMATORIA DE FUENTES DE INFORMACIÓN FORMULARIO WEB Y CORREO ELECTRÓNICO; EL CANAL DE CORREO ELECTRÓNICO OPERA DESDE AGOSTO 2015</t>
  </si>
  <si>
    <t>*PERSONALIZADO: SUMATORIA CANAL PERSONALIZADO Y EVENTOS; EL CANAL EVENTOS OPERA DESDE NOVIEMBRE 2017</t>
  </si>
  <si>
    <t>*REDES SOCIALES: SUMATORIA CANAL REDES SOCIALES Y MEDIOS DE COMUNICACIÓN; ESTOS CANALES OPERAN DESDE FEBRERO 2018</t>
  </si>
  <si>
    <t>TABLA 3. PQRD Y SOLICITUDES DE INFORMACIÓN POR CANAL DE RADICACIÓN</t>
  </si>
  <si>
    <t>PQRD POR DEPARTAMENTO</t>
  </si>
  <si>
    <t>DEPARTAMENTO</t>
  </si>
  <si>
    <t>TABLA 4. PQRD POR DEPARTAMENTO</t>
  </si>
  <si>
    <t>PQRD POR CAPITAL DE DEPARTAMENTO</t>
  </si>
  <si>
    <t>CAPITALES</t>
  </si>
  <si>
    <t>POPAYÁN</t>
  </si>
  <si>
    <t>NEIVA</t>
  </si>
  <si>
    <t>BUCARAMANGA</t>
  </si>
  <si>
    <t>ARMENIA</t>
  </si>
  <si>
    <t>PEREIRA</t>
  </si>
  <si>
    <t>MANIZALES</t>
  </si>
  <si>
    <t>IBAGUÉ</t>
  </si>
  <si>
    <t>CALI</t>
  </si>
  <si>
    <t>BOGOTÁ, D.C.</t>
  </si>
  <si>
    <t>MEDELLÍN</t>
  </si>
  <si>
    <t>VILLAVICENCIO</t>
  </si>
  <si>
    <t>QUIBDÓ</t>
  </si>
  <si>
    <t>TUNJA</t>
  </si>
  <si>
    <t>BARRANQUILLA</t>
  </si>
  <si>
    <t>SAN JOSÉ DEL GUAVIARE</t>
  </si>
  <si>
    <t>PUERTO CARREÑO</t>
  </si>
  <si>
    <t>VALLEDUPAR</t>
  </si>
  <si>
    <t>ARAUCA</t>
  </si>
  <si>
    <t>SINCELEJO</t>
  </si>
  <si>
    <t>YOPAL</t>
  </si>
  <si>
    <t>MITÚ</t>
  </si>
  <si>
    <t>PASTO</t>
  </si>
  <si>
    <t>SAN ANDRÉS</t>
  </si>
  <si>
    <t>LETICIA</t>
  </si>
  <si>
    <t>CÚCUTA</t>
  </si>
  <si>
    <t>INÍRIDA</t>
  </si>
  <si>
    <t>SANTA MARTA</t>
  </si>
  <si>
    <t>FLORENCIA</t>
  </si>
  <si>
    <t>MONTERÍA</t>
  </si>
  <si>
    <t>CARTAGENA DE INDIAS</t>
  </si>
  <si>
    <t>MOCOA</t>
  </si>
  <si>
    <t>RIOHACHA</t>
  </si>
  <si>
    <t>PQRD POR MACROMOTIVO</t>
  </si>
  <si>
    <t>MACROMOTIVOS</t>
  </si>
  <si>
    <t>PQRD POR MOTIVOS ESPECÍFICOS</t>
  </si>
  <si>
    <t>MOTIVOS</t>
  </si>
  <si>
    <t>TOTAL 10 MOTIVOS CON MAYOR PQRD</t>
  </si>
  <si>
    <t>TOTAL DE TODOS LOS MOTIVOS</t>
  </si>
  <si>
    <t>PQRD POR EPS RÉGIMEN CONTRIBUTIVO</t>
  </si>
  <si>
    <t>EPS</t>
  </si>
  <si>
    <t>PQRD POR EPS RÉGIMEN SUBSIDIADO</t>
  </si>
  <si>
    <t>PQRD POR OTRO TIPO DE VIGILADO</t>
  </si>
  <si>
    <t>VIGILADO</t>
  </si>
  <si>
    <t>COOMEVA MEDICINA PREPAGADA S.A.</t>
  </si>
  <si>
    <t>SECCIONAL DE SALUD DISTRITAL - DISTRISALUD DEL ATLANTICO</t>
  </si>
  <si>
    <t>SECRETARIA DEPARTAMENTAL DE SALUD DE SANTANDER</t>
  </si>
  <si>
    <t>SECRETARIA DE SALUD DE CUNDINAMARCA</t>
  </si>
  <si>
    <t>INSTITUTO DEPARTAMENTAL DE SALUD DE NORTE DE SANTANDER</t>
  </si>
  <si>
    <t>EMERMEDICA S.A. SERVICIOS DE AMBULANCIA PREPAGADOS</t>
  </si>
  <si>
    <t>FIDUPREVISORA – CONSORCIO PPL</t>
  </si>
  <si>
    <t>ARL - COLMENA</t>
  </si>
  <si>
    <t>SECRETARIA DEPARTAMENTAL DE SALUD DEL TOLIMA</t>
  </si>
  <si>
    <t>ARL - SEGUROS DE VIDA COLPATRIA</t>
  </si>
  <si>
    <t>SECCIONAL DE SALUD DE BOLIVAR</t>
  </si>
  <si>
    <t>ARL - SEGUROS DE VIDA LA EQUIDAD</t>
  </si>
  <si>
    <t>SECRETARIA DEPARTAMENTAL DE SALUD DEL META</t>
  </si>
  <si>
    <t>ARL - SEGUROS BOLÍVAR</t>
  </si>
  <si>
    <t>SECRETARIA DE SALUD DEPARTAMENTAL DE LA GUAJIRA</t>
  </si>
  <si>
    <t>SECCIONAL DE SALUD DEL ATLANTICO</t>
  </si>
  <si>
    <t>MEDPLUS MEDICINA PREPAGADA</t>
  </si>
  <si>
    <t>COLMEDICA MEDICINA PREPAGADA S A</t>
  </si>
  <si>
    <t>INSTITUTO DEPARTAMENTAL DE SALUD DE NARIÑO</t>
  </si>
  <si>
    <t>SECRETARIA DE SALUD DEPARTAMENTAL DEL HUILA</t>
  </si>
  <si>
    <t>SECRETARIA DEPARTAMENTAL DE SALUD DE RISARALDA</t>
  </si>
  <si>
    <t>INSTITUTO SECCIONAL DE SALUD DE BOYACA</t>
  </si>
  <si>
    <t>UNIDAD ADMINISTRATIVA ESPECIAL DE SALUD ARAUCA</t>
  </si>
  <si>
    <t>DIRECCION DEPARTAMENTAL DE SALUD DEL CAUCA</t>
  </si>
  <si>
    <t>AXA COLPATRIA MEDICINA PREPAGADA S.A.</t>
  </si>
  <si>
    <t>DIRECCION TERRITORIAL DE SALUD DE CALDAS</t>
  </si>
  <si>
    <t>SECRETARIA DE SALUD DEPARTAMENTAL DEL CESAR</t>
  </si>
  <si>
    <t>INSTITUTO SECCIONAL DE SALUD DEL QUINDIO</t>
  </si>
  <si>
    <t>SECRETARIA DE SALUD DEL MAGDALENA</t>
  </si>
  <si>
    <t>SECRETARIA DE DESARROLLO DE LA SALUD DE CORDOBA</t>
  </si>
  <si>
    <t>DEPARTAMENTO ADMINISTRATIVO DE SEGURIDAD SOCIAL EN SALUD DE SUCRE</t>
  </si>
  <si>
    <t>COMPAÑIA DE MEDICINA PREPAGADA MEDISANITAS SA</t>
  </si>
  <si>
    <t>SURAMERICANA DE SEGUROS S.A.</t>
  </si>
  <si>
    <t>SEGUROS DEL ESTADO S.A.</t>
  </si>
  <si>
    <t>SECRETARIA DEPARTAMENTAL. DE SALUD DEL CASANARE</t>
  </si>
  <si>
    <t>ECOPETROL</t>
  </si>
  <si>
    <t>EMPRESA DE MEDICINA INTEGRAL EMI S.A. SERVICIO DE AMBULANCIA PREPAGADA</t>
  </si>
  <si>
    <t>UNIVERSIDAD DE ANTIOQUIA</t>
  </si>
  <si>
    <t>FOSYGA</t>
  </si>
  <si>
    <t>SECRETARIA DEPARTAMENTAL DE SALUD DEL GUAVIARE</t>
  </si>
  <si>
    <t>DEPARTAMENTO ADMINISTRATIVO DE SALUD DEL CHOCO - DASALUD</t>
  </si>
  <si>
    <t>INSTITUTO DEPARTAMENTAL DE SALUD DEL CAQUETA</t>
  </si>
  <si>
    <t>UNIVERSIDAD NACIONAL DE COLOMBIA</t>
  </si>
  <si>
    <t>SECRETARIA DEPARTAMENTAL DE SALUD DEL PUTUMAYO</t>
  </si>
  <si>
    <t>MUNDIAL DE SEGUROS S.A.</t>
  </si>
  <si>
    <t>ARL - SEGUROS DE VIDA MAPFRE</t>
  </si>
  <si>
    <t>SECRETARIA  DE SALUD DISTRITAL DE SANTA MARTA</t>
  </si>
  <si>
    <t>DEPARTAMENTO ADMINISTRATIVO DISTRITAL DE SALUD DE CARTAGENA - DADIS</t>
  </si>
  <si>
    <t>SEGUROS COLPATRIA S.A.</t>
  </si>
  <si>
    <t>ALLIANZ SEGUROS S.A</t>
  </si>
  <si>
    <t>UNIVERSIDAD DE CARTAGENA</t>
  </si>
  <si>
    <t>SECRETARIA DE SALUD DEL GUAINIA</t>
  </si>
  <si>
    <t>EMPRESAS PÚBLICAS DE MEDELLÍN DEPARTAMENTO MÉDICO</t>
  </si>
  <si>
    <t>LIBERTY SEGUROS S.A.</t>
  </si>
  <si>
    <t>UNIVERSIDAD DEL ATLANTICO</t>
  </si>
  <si>
    <t>ARL - SEGUROS DE VIDA ALFA</t>
  </si>
  <si>
    <t>SECRETARIA DEPARTAMENTAL DE SALUD DEL AMAZONAS</t>
  </si>
  <si>
    <t>SECRETARIA DEPARTAMENTAL DE SALUD DEL VICHADA</t>
  </si>
  <si>
    <t>ASISTENCIA MEDICA INMEDIATA SAP S A</t>
  </si>
  <si>
    <t>SECRETARIA DE SALUD DEL DEPARTAMENTAL ARCHIPIELAGO DE SAN ANDRES PROVIDENCIA Y SANTA CATALINA</t>
  </si>
  <si>
    <t>MAPFRE SEGUROS GENERALES DE COLOMBIA S.A.</t>
  </si>
  <si>
    <t>SEGUROS COMERCIALES BOLIVAR S.A.</t>
  </si>
  <si>
    <t>UNIVERSIDAD DEL VALLE</t>
  </si>
  <si>
    <t>PLAN U.H.C.M. MEDICINA PREPAGADA COMFENALCO VALLE</t>
  </si>
  <si>
    <t>ASISTENCIA MEDICA DE EMERGENCIA LIMITADA</t>
  </si>
  <si>
    <t>TOP 10 OTROS VIGILADOS</t>
  </si>
  <si>
    <t>*NO SE CALCULA TASA TODA VEZ QUE NO SE CUENTA CON LA INFORMACIÓN DE NÚMERO DE AFILIADOS  DE TODOS LOS VIGILADOS DE OTRO TIPO DE RÉGIMEN EN EL BDUA (BASE ÚNICA DE AFILIADOS)</t>
  </si>
  <si>
    <t>DIFERENCIA RESPECTO DEL TOTAL DE PQRD</t>
  </si>
  <si>
    <t>6. Ocultar las filas color curuba de las tablas: motivos específicos y otro tipo de vigilado.</t>
  </si>
  <si>
    <t xml:space="preserve">COMPORTAMIENTO DE PETICIONES, QUEJAS, RECLAMOS O DENUNCIAS (PQRD) Y SOLICITUDES DE INFORMACIÓN </t>
  </si>
  <si>
    <t>7. Una vez diligenciado el informe, ofultar las columnas A y B</t>
  </si>
  <si>
    <t>ENT_COD_DEPTO</t>
  </si>
  <si>
    <t>ENT_DPTO</t>
  </si>
  <si>
    <t>TASA ACUMULADA</t>
  </si>
  <si>
    <t>63</t>
  </si>
  <si>
    <t>QUINDIO</t>
  </si>
  <si>
    <t>66</t>
  </si>
  <si>
    <t>RISARALDA</t>
  </si>
  <si>
    <t>11</t>
  </si>
  <si>
    <t>68</t>
  </si>
  <si>
    <t>SANTANDER</t>
  </si>
  <si>
    <t>76</t>
  </si>
  <si>
    <t>VALLE DEL CAUCA</t>
  </si>
  <si>
    <t>17</t>
  </si>
  <si>
    <t>CALDAS</t>
  </si>
  <si>
    <t>73</t>
  </si>
  <si>
    <t>TOLIMA</t>
  </si>
  <si>
    <t>05</t>
  </si>
  <si>
    <t>ANTIOQUIA</t>
  </si>
  <si>
    <t>41</t>
  </si>
  <si>
    <t>HUILA</t>
  </si>
  <si>
    <t>50</t>
  </si>
  <si>
    <t>META</t>
  </si>
  <si>
    <t>25</t>
  </si>
  <si>
    <t>CUNDINAMARCA</t>
  </si>
  <si>
    <t>08</t>
  </si>
  <si>
    <t>ATLÁNTICO</t>
  </si>
  <si>
    <t>19</t>
  </si>
  <si>
    <t>CAUCA</t>
  </si>
  <si>
    <t>95</t>
  </si>
  <si>
    <t>GUAVIARE</t>
  </si>
  <si>
    <t>81</t>
  </si>
  <si>
    <t>88</t>
  </si>
  <si>
    <t>ARCHIPIÉLAGO DE SAN ANDRÉS, PROVIDENCIA Y SANTA CATALINA</t>
  </si>
  <si>
    <t>15</t>
  </si>
  <si>
    <t>BOYACÁ</t>
  </si>
  <si>
    <t>20</t>
  </si>
  <si>
    <t>CESAR</t>
  </si>
  <si>
    <t>91</t>
  </si>
  <si>
    <t>AMAZONAS</t>
  </si>
  <si>
    <t>54</t>
  </si>
  <si>
    <t>NORTE DE SANTANDER</t>
  </si>
  <si>
    <t>27</t>
  </si>
  <si>
    <t>CHOCÓ</t>
  </si>
  <si>
    <t>97</t>
  </si>
  <si>
    <t>VAUPÉS</t>
  </si>
  <si>
    <t>85</t>
  </si>
  <si>
    <t>CASANARE</t>
  </si>
  <si>
    <t>70</t>
  </si>
  <si>
    <t>SUCRE</t>
  </si>
  <si>
    <t>94</t>
  </si>
  <si>
    <t>GUAINÍA</t>
  </si>
  <si>
    <t>23</t>
  </si>
  <si>
    <t>CÓRDOBA</t>
  </si>
  <si>
    <t>47</t>
  </si>
  <si>
    <t>MAGDALENA</t>
  </si>
  <si>
    <t>13</t>
  </si>
  <si>
    <t>BOLÍVAR</t>
  </si>
  <si>
    <t>99</t>
  </si>
  <si>
    <t>VICHADA</t>
  </si>
  <si>
    <t>18</t>
  </si>
  <si>
    <t>CAQUETÁ</t>
  </si>
  <si>
    <t>52</t>
  </si>
  <si>
    <t>NARIÑO</t>
  </si>
  <si>
    <t>44</t>
  </si>
  <si>
    <t>LA GUAJIRA</t>
  </si>
  <si>
    <t>86</t>
  </si>
  <si>
    <t>PUTUMAYO</t>
  </si>
  <si>
    <t>COD ALIAS</t>
  </si>
  <si>
    <t>19001</t>
  </si>
  <si>
    <t>41001</t>
  </si>
  <si>
    <t>68001</t>
  </si>
  <si>
    <t>63001</t>
  </si>
  <si>
    <t>66001</t>
  </si>
  <si>
    <t>17001</t>
  </si>
  <si>
    <t>73001</t>
  </si>
  <si>
    <t>76001</t>
  </si>
  <si>
    <t>11001</t>
  </si>
  <si>
    <t>05001</t>
  </si>
  <si>
    <t>50001</t>
  </si>
  <si>
    <t>27001</t>
  </si>
  <si>
    <t>15001</t>
  </si>
  <si>
    <t>08001</t>
  </si>
  <si>
    <t>95001</t>
  </si>
  <si>
    <t>99001</t>
  </si>
  <si>
    <t>20001</t>
  </si>
  <si>
    <t>81001</t>
  </si>
  <si>
    <t>70001</t>
  </si>
  <si>
    <t>85001</t>
  </si>
  <si>
    <t>97001</t>
  </si>
  <si>
    <t>52001</t>
  </si>
  <si>
    <t>88001</t>
  </si>
  <si>
    <t>91001</t>
  </si>
  <si>
    <t>54001</t>
  </si>
  <si>
    <t>94001</t>
  </si>
  <si>
    <t>47001</t>
  </si>
  <si>
    <t>18001</t>
  </si>
  <si>
    <t>23001</t>
  </si>
  <si>
    <t>13001</t>
  </si>
  <si>
    <t>86001</t>
  </si>
  <si>
    <t>44001</t>
  </si>
  <si>
    <t>COD_MACROMOT</t>
  </si>
  <si>
    <t>MACROMOTIVO</t>
  </si>
  <si>
    <t>01</t>
  </si>
  <si>
    <t>RESTRICCION EN EL ACCESO A LOS SERVICIOS DE SALUD</t>
  </si>
  <si>
    <t>04</t>
  </si>
  <si>
    <t xml:space="preserve">INSATISFACCION DEL USUARIO CON EL PROCESO ADMINISTRATIVO </t>
  </si>
  <si>
    <t>02</t>
  </si>
  <si>
    <t>DEFICIENCIA EN LA EFECTIVIDAD DE LA ATENCION EN SALUD</t>
  </si>
  <si>
    <t>NO RECONOCIMIENTO DE LAS PRESTACIONES ECONOMICAS</t>
  </si>
  <si>
    <t>10</t>
  </si>
  <si>
    <t>PETICIONES, QUEJAS Y RECLAMOS INTERPUESTAS POR IPS-EPS, ENTIDADES TERRITORIALES Y ORGANISMOS DE CONTROL Y VIGILANCIA</t>
  </si>
  <si>
    <t>03</t>
  </si>
  <si>
    <t>FALTA DE DISPONIBILIDAD O INAPROPIADO MANEJO DEL RECURSOS HUMANO Y FISICO PARA LA ATENCION</t>
  </si>
  <si>
    <t>COD_MOTESP</t>
  </si>
  <si>
    <t xml:space="preserve">MOTIVO ESPECÍFICO </t>
  </si>
  <si>
    <t>010109</t>
  </si>
  <si>
    <t>010120</t>
  </si>
  <si>
    <t>010119</t>
  </si>
  <si>
    <t>010114</t>
  </si>
  <si>
    <t>040301</t>
  </si>
  <si>
    <t>010314</t>
  </si>
  <si>
    <t>010302</t>
  </si>
  <si>
    <t>010326</t>
  </si>
  <si>
    <t>010305</t>
  </si>
  <si>
    <t>050201</t>
  </si>
  <si>
    <t>020205</t>
  </si>
  <si>
    <t>010101</t>
  </si>
  <si>
    <t>010613</t>
  </si>
  <si>
    <t>010607</t>
  </si>
  <si>
    <t>INCONSISTENCIAS EN EL REPORTE DE NOVEDADES</t>
  </si>
  <si>
    <t>010320</t>
  </si>
  <si>
    <t>010303</t>
  </si>
  <si>
    <t>010117</t>
  </si>
  <si>
    <t>010301</t>
  </si>
  <si>
    <t>010310</t>
  </si>
  <si>
    <t>010106</t>
  </si>
  <si>
    <t>010306</t>
  </si>
  <si>
    <t>050301</t>
  </si>
  <si>
    <t>020113</t>
  </si>
  <si>
    <t>040302</t>
  </si>
  <si>
    <t>010317</t>
  </si>
  <si>
    <t>010110</t>
  </si>
  <si>
    <t>010508</t>
  </si>
  <si>
    <t>CONTRATOS VENCIDOS CON IPS QUE AFECTAN LA CONTINUIDAD DEL SERVICIO</t>
  </si>
  <si>
    <t>020208</t>
  </si>
  <si>
    <t>DEFICIENCIAS EN LA SEGURIDAD DEL PACIENTE</t>
  </si>
  <si>
    <t>010316</t>
  </si>
  <si>
    <t>010107</t>
  </si>
  <si>
    <t>010318</t>
  </si>
  <si>
    <t>010115</t>
  </si>
  <si>
    <t>010319</t>
  </si>
  <si>
    <t>010104</t>
  </si>
  <si>
    <t>010111</t>
  </si>
  <si>
    <t>020204</t>
  </si>
  <si>
    <t>040112</t>
  </si>
  <si>
    <t>DEFICIENTE INFORMACIÓN SOBRE DERECHOS, DEBERES Y TRÁMITES</t>
  </si>
  <si>
    <t>010103</t>
  </si>
  <si>
    <t>050101</t>
  </si>
  <si>
    <t>010304</t>
  </si>
  <si>
    <t>010108</t>
  </si>
  <si>
    <t>010604</t>
  </si>
  <si>
    <t>TRASLADO DE MUNICIPIO</t>
  </si>
  <si>
    <t>100101</t>
  </si>
  <si>
    <t>010322</t>
  </si>
  <si>
    <t>040109</t>
  </si>
  <si>
    <t>010125</t>
  </si>
  <si>
    <t>010121</t>
  </si>
  <si>
    <t>FALTA DE OPORTUNIDAD POR FRACCIONAMIENTO O ENTREGA INCOMPLETA DE LOS MEDICAMENTOS</t>
  </si>
  <si>
    <t>010602</t>
  </si>
  <si>
    <t>010102</t>
  </si>
  <si>
    <t>020209</t>
  </si>
  <si>
    <t>010617</t>
  </si>
  <si>
    <t>SOLICITUD DEL USUARIO DE TRASLADO DE EPS POR FALLAS EN LA PRESTACIÓN DEL SERVICIO</t>
  </si>
  <si>
    <t>010502</t>
  </si>
  <si>
    <t>INCONSISTENCIA EN EL COBRO DEL COPAGO</t>
  </si>
  <si>
    <t>010612</t>
  </si>
  <si>
    <t>NO ACTIVO EN BASE DE DATOS DE LA EPS</t>
  </si>
  <si>
    <t>010615</t>
  </si>
  <si>
    <t>010423</t>
  </si>
  <si>
    <t>010611</t>
  </si>
  <si>
    <t>010218</t>
  </si>
  <si>
    <t>040307</t>
  </si>
  <si>
    <t>050303</t>
  </si>
  <si>
    <t>040202</t>
  </si>
  <si>
    <t>TRATO INDIGNO O DESHUMANIZADO</t>
  </si>
  <si>
    <t>010113</t>
  </si>
  <si>
    <t>010321</t>
  </si>
  <si>
    <t>050106</t>
  </si>
  <si>
    <t>010118</t>
  </si>
  <si>
    <t>010704</t>
  </si>
  <si>
    <t>INSUFICIENCIA DE RED PRESTADORA</t>
  </si>
  <si>
    <t>010414</t>
  </si>
  <si>
    <t>010315</t>
  </si>
  <si>
    <t>010417</t>
  </si>
  <si>
    <t>010210</t>
  </si>
  <si>
    <t>010503</t>
  </si>
  <si>
    <t>INCONSISTENCIAS EN LOS APORTES DE LOS USUARIOS</t>
  </si>
  <si>
    <t>010311</t>
  </si>
  <si>
    <t>040304</t>
  </si>
  <si>
    <t>010504</t>
  </si>
  <si>
    <t>INCONSISTENCIAS EN REPORTES DE APORTES</t>
  </si>
  <si>
    <t>010501</t>
  </si>
  <si>
    <t>INCONSISTENCIA EN EL COBRO DE LA CUOTA MODERADORA</t>
  </si>
  <si>
    <t>010603</t>
  </si>
  <si>
    <t>NEGACIÓN DEL SERVICIO CUANDO NO SE HA HECHO EFECTIVO EL TRASLADO A OTRA EPS</t>
  </si>
  <si>
    <t>050305</t>
  </si>
  <si>
    <t>010712</t>
  </si>
  <si>
    <t>010412</t>
  </si>
  <si>
    <t>010512</t>
  </si>
  <si>
    <t>INCONSISTENCIAS POR DEVOLUCIONES DE APORTES  </t>
  </si>
  <si>
    <t>100102</t>
  </si>
  <si>
    <t>100202</t>
  </si>
  <si>
    <t>010420</t>
  </si>
  <si>
    <t>010715</t>
  </si>
  <si>
    <t>FALLAS EN LA DISPONIBILIDAD DE TRANSPORTE PARA LA REFERENCIA Y CONTRARREFERENCIA DE PACIENTES</t>
  </si>
  <si>
    <t>010112</t>
  </si>
  <si>
    <t>050204</t>
  </si>
  <si>
    <t>010130</t>
  </si>
  <si>
    <t>FALTA DE OPORTUNIDAD DE LOS FALLOS DE LAS JUNTAS CALIFICADORAS PARA INVALIDEZ-RIESGOS PROFESIONALES</t>
  </si>
  <si>
    <t>010222</t>
  </si>
  <si>
    <t>010402</t>
  </si>
  <si>
    <t>010219</t>
  </si>
  <si>
    <t>030207</t>
  </si>
  <si>
    <t>010214</t>
  </si>
  <si>
    <t>010212</t>
  </si>
  <si>
    <t>010208</t>
  </si>
  <si>
    <t>040502</t>
  </si>
  <si>
    <t>SEGUIMIENTO A TUTELAS</t>
  </si>
  <si>
    <t>050302</t>
  </si>
  <si>
    <t>DEMORA EN EL RECONOCIMIENTO DE REEMBOLSOS (MEDICAMENTOS)</t>
  </si>
  <si>
    <t>050203</t>
  </si>
  <si>
    <t>040503</t>
  </si>
  <si>
    <t>040106</t>
  </si>
  <si>
    <t>020110</t>
  </si>
  <si>
    <t>010717</t>
  </si>
  <si>
    <t>020202</t>
  </si>
  <si>
    <t>010405</t>
  </si>
  <si>
    <t>050102</t>
  </si>
  <si>
    <t>NO RECONOCIMIENTO DE LA LICENCIA DE PATERNIDAD</t>
  </si>
  <si>
    <t>010703</t>
  </si>
  <si>
    <t>010618</t>
  </si>
  <si>
    <t>SUSPENSIÓN DE LA AFILIACIÓN</t>
  </si>
  <si>
    <t>010309</t>
  </si>
  <si>
    <t>010217</t>
  </si>
  <si>
    <t>020108</t>
  </si>
  <si>
    <t>030202</t>
  </si>
  <si>
    <t>FALTA DISPONIBILIDAD EN CAMAS</t>
  </si>
  <si>
    <t>010509</t>
  </si>
  <si>
    <t>INCONSISTENCIAS EN EL COBRO DE MULTAS POR INASISTENCIA</t>
  </si>
  <si>
    <t>010133</t>
  </si>
  <si>
    <t>010323</t>
  </si>
  <si>
    <t>010707</t>
  </si>
  <si>
    <t>FALTA DE RED DE FARMACIAS</t>
  </si>
  <si>
    <t>050304</t>
  </si>
  <si>
    <t>DEMORA EN EL RECONOCIMIENTO DE REEMBOLSOS (INSUMOS)</t>
  </si>
  <si>
    <t>010401</t>
  </si>
  <si>
    <t>030304</t>
  </si>
  <si>
    <t>010418</t>
  </si>
  <si>
    <t>010201</t>
  </si>
  <si>
    <t>020107</t>
  </si>
  <si>
    <t>SALUD MENTAL</t>
  </si>
  <si>
    <t>010308</t>
  </si>
  <si>
    <t>020301</t>
  </si>
  <si>
    <t>040305</t>
  </si>
  <si>
    <t>010410</t>
  </si>
  <si>
    <t>010215</t>
  </si>
  <si>
    <t>010209</t>
  </si>
  <si>
    <t>040506</t>
  </si>
  <si>
    <t>DESACATO A TUTELAS</t>
  </si>
  <si>
    <t>010220</t>
  </si>
  <si>
    <t>020104</t>
  </si>
  <si>
    <t>VIH SIDA Y OTRAS ET SEXUAL</t>
  </si>
  <si>
    <t>050202</t>
  </si>
  <si>
    <t>010131</t>
  </si>
  <si>
    <t>010419</t>
  </si>
  <si>
    <t>010511</t>
  </si>
  <si>
    <t>010406</t>
  </si>
  <si>
    <t>010416</t>
  </si>
  <si>
    <t>040505</t>
  </si>
  <si>
    <t>030103</t>
  </si>
  <si>
    <t>FALTA DE PERSONAL ADMINISTRATIVO</t>
  </si>
  <si>
    <t>020118</t>
  </si>
  <si>
    <t>MUERTE O FALLECIMIENTO DE USUARIO</t>
  </si>
  <si>
    <t>020117</t>
  </si>
  <si>
    <t>010221</t>
  </si>
  <si>
    <t>040102</t>
  </si>
  <si>
    <t>010132</t>
  </si>
  <si>
    <t>101201</t>
  </si>
  <si>
    <t>010413</t>
  </si>
  <si>
    <t>020111</t>
  </si>
  <si>
    <t>010403</t>
  </si>
  <si>
    <t>020115</t>
  </si>
  <si>
    <t>010507</t>
  </si>
  <si>
    <t>020101</t>
  </si>
  <si>
    <t>MATERNO INFANTIL</t>
  </si>
  <si>
    <t>040108</t>
  </si>
  <si>
    <t>010324</t>
  </si>
  <si>
    <t>010424</t>
  </si>
  <si>
    <t>040401</t>
  </si>
  <si>
    <t>020201</t>
  </si>
  <si>
    <t>ERRORES POR PARTE DEL RECURSO HUMANO</t>
  </si>
  <si>
    <t>010614</t>
  </si>
  <si>
    <t>NO ACTIVO EN BASE DE DATOS DEL FOSYGA (BDUA)</t>
  </si>
  <si>
    <t>010123</t>
  </si>
  <si>
    <t>101303</t>
  </si>
  <si>
    <t>COMPETENCIA DESLEAL POR PARTE DE LAS EPS</t>
  </si>
  <si>
    <t>010422</t>
  </si>
  <si>
    <t>020207</t>
  </si>
  <si>
    <t>010609</t>
  </si>
  <si>
    <t>BENEFICIARIOS QUE NO CORRESPONDEN</t>
  </si>
  <si>
    <t>030302</t>
  </si>
  <si>
    <t>010105</t>
  </si>
  <si>
    <t>010205</t>
  </si>
  <si>
    <t>010432</t>
  </si>
  <si>
    <t>010127</t>
  </si>
  <si>
    <t>010415</t>
  </si>
  <si>
    <t>020206</t>
  </si>
  <si>
    <t>EVENTOS ADVERSOS</t>
  </si>
  <si>
    <t>010601</t>
  </si>
  <si>
    <t>010122</t>
  </si>
  <si>
    <t>FALTA DE OPORTUNIDAD POR EL VENCIMIENTO DE LAS AUTORIZACIONES</t>
  </si>
  <si>
    <t>010203</t>
  </si>
  <si>
    <t>040101</t>
  </si>
  <si>
    <t>100404</t>
  </si>
  <si>
    <t>010714</t>
  </si>
  <si>
    <t>FALTA DE DISPONIBILIDAD DE CAMAS DEL SERVICIO SOLICITADO EN LA RED DE LA EAPB O DEL ENTE TERRITORIAL (REFERENCIA-CONTRARREFERENCIA)</t>
  </si>
  <si>
    <t>010211</t>
  </si>
  <si>
    <t>020114</t>
  </si>
  <si>
    <t>SALUD ORAL</t>
  </si>
  <si>
    <t>010124</t>
  </si>
  <si>
    <t>FALTA DE OPORTUNIDAD EN CUIDADO INTERMEDIO</t>
  </si>
  <si>
    <t>010716</t>
  </si>
  <si>
    <t>010213</t>
  </si>
  <si>
    <t>030102</t>
  </si>
  <si>
    <t>FALTA DE PERSONAL ESPECIALIZADO</t>
  </si>
  <si>
    <t>010425</t>
  </si>
  <si>
    <t>030101</t>
  </si>
  <si>
    <t>030206</t>
  </si>
  <si>
    <t>010706</t>
  </si>
  <si>
    <t>NO CUBRIMIENTO DE PRIMER NIVEL EN EL MUNICIPIO DE REFERENCIA</t>
  </si>
  <si>
    <t>010126</t>
  </si>
  <si>
    <t>010621</t>
  </si>
  <si>
    <t>010713</t>
  </si>
  <si>
    <t>010616</t>
  </si>
  <si>
    <t>010202</t>
  </si>
  <si>
    <t>010404</t>
  </si>
  <si>
    <t>101305</t>
  </si>
  <si>
    <t>EXCLUSIONES PARA PLANES VOLUNTARIOS DE SALUD</t>
  </si>
  <si>
    <t>010510</t>
  </si>
  <si>
    <t>010207</t>
  </si>
  <si>
    <t>040110</t>
  </si>
  <si>
    <t>CONSENTIMIENTO INFORMADO</t>
  </si>
  <si>
    <t>100504</t>
  </si>
  <si>
    <t>INCUMPLIMIENTO EN LAS ACCIONES DE SALUD ORAL</t>
  </si>
  <si>
    <t>010718</t>
  </si>
  <si>
    <t>010605</t>
  </si>
  <si>
    <t>COBRO DE UPC ADICIONAL</t>
  </si>
  <si>
    <t>010206</t>
  </si>
  <si>
    <t>030201</t>
  </si>
  <si>
    <t>010216</t>
  </si>
  <si>
    <t>010411</t>
  </si>
  <si>
    <t>010506</t>
  </si>
  <si>
    <t>FRACCIONAMIENTO EN EL COBRO PARA LA ENTREGA DE MEDICAMENTOS</t>
  </si>
  <si>
    <t>010608</t>
  </si>
  <si>
    <t>INCONSISTENCIA EN LA BASE DE DATOS: FALLECIDO</t>
  </si>
  <si>
    <t>010701</t>
  </si>
  <si>
    <t>010430</t>
  </si>
  <si>
    <t>040303</t>
  </si>
  <si>
    <t>010705</t>
  </si>
  <si>
    <t>TRAMITE DE LA REFERENCIA A CARGO DEL USUARIO</t>
  </si>
  <si>
    <t>030303</t>
  </si>
  <si>
    <t>020116</t>
  </si>
  <si>
    <t>010427</t>
  </si>
  <si>
    <t>010421</t>
  </si>
  <si>
    <t>020109</t>
  </si>
  <si>
    <t>030204</t>
  </si>
  <si>
    <t>010128</t>
  </si>
  <si>
    <t>040104</t>
  </si>
  <si>
    <t>100209</t>
  </si>
  <si>
    <t>040105</t>
  </si>
  <si>
    <t>010409</t>
  </si>
  <si>
    <t>040111</t>
  </si>
  <si>
    <t>030301</t>
  </si>
  <si>
    <t>010408</t>
  </si>
  <si>
    <t>101202</t>
  </si>
  <si>
    <t>010702</t>
  </si>
  <si>
    <t>010709</t>
  </si>
  <si>
    <t>INSUFICIENCIA DE RED PRESTADORA PARA LOS SERVICIOS DE ALTO COSTO</t>
  </si>
  <si>
    <t>100203</t>
  </si>
  <si>
    <t>010129</t>
  </si>
  <si>
    <t>040201</t>
  </si>
  <si>
    <t>010225</t>
  </si>
  <si>
    <t>010619</t>
  </si>
  <si>
    <t>100605</t>
  </si>
  <si>
    <t>010708</t>
  </si>
  <si>
    <t>INSUFICIENCIA DE RED PRESTADORA PARA SERVICIOS DE MEDIANA Y ALTA COMPLEJIDAD EN EL DEPARTAMENTO</t>
  </si>
  <si>
    <t>040103</t>
  </si>
  <si>
    <t>010426</t>
  </si>
  <si>
    <t>101302</t>
  </si>
  <si>
    <t>040306</t>
  </si>
  <si>
    <t>010710</t>
  </si>
  <si>
    <t>010505</t>
  </si>
  <si>
    <t>010610</t>
  </si>
  <si>
    <t>030205</t>
  </si>
  <si>
    <t>101103</t>
  </si>
  <si>
    <t>020112</t>
  </si>
  <si>
    <t>OBESIDAD</t>
  </si>
  <si>
    <t>010431</t>
  </si>
  <si>
    <t>100901</t>
  </si>
  <si>
    <t>100402</t>
  </si>
  <si>
    <t>030104</t>
  </si>
  <si>
    <t>FALTA DE PERSONAL DE SERVICIOS GENERALES</t>
  </si>
  <si>
    <t>030203</t>
  </si>
  <si>
    <t>FALTA DE DISPONIBILIDAD SALAS DE PARTO</t>
  </si>
  <si>
    <t>020203</t>
  </si>
  <si>
    <t>CONVENIOS DOCENTES ASISTENCIALES (ESTUDIANTES EJERCIENDO)</t>
  </si>
  <si>
    <t>100207</t>
  </si>
  <si>
    <t>040504</t>
  </si>
  <si>
    <t>INCONFORMIDAD POR RESPUESTA TUTELA</t>
  </si>
  <si>
    <t>100301</t>
  </si>
  <si>
    <t>INCUMPLIMIENTO EN LAS ACCIONES DE DEMANDA INDUCIDA POR PARTE DE LAS EPS</t>
  </si>
  <si>
    <t>010711</t>
  </si>
  <si>
    <t>010437</t>
  </si>
  <si>
    <t>101003</t>
  </si>
  <si>
    <t>INCUMPLIMIENTO EN EL REPORTE DE INDICADORES DE CALIDAD POR PARTE DE LAS IPS</t>
  </si>
  <si>
    <t>010435</t>
  </si>
  <si>
    <t>020103</t>
  </si>
  <si>
    <t>SALUD SEXUAL Y REPRODUCTIVA</t>
  </si>
  <si>
    <t>100503</t>
  </si>
  <si>
    <t>INCUMPLIMIENTO EN LAS ACCIONES DE SALUD MENTAL Y LESIONES VIOLENTAS EVITABLES</t>
  </si>
  <si>
    <t>101102</t>
  </si>
  <si>
    <t>INCUMPLIMIENTO DEL REPORTE DE LOS RIPS PARTE DE LOS PRESTADORES DE SERVICIOS DE SALUD A LAS ENTIDADES TERRITORIALES</t>
  </si>
  <si>
    <t>010622</t>
  </si>
  <si>
    <t>010134</t>
  </si>
  <si>
    <t>101101</t>
  </si>
  <si>
    <t>INCUMPLIMIENTO DEL REPORTE DE LOS RIPS PARTE DE LOS PRESTADORES DE SERVICIOS DE SALUD A LAS EAPB</t>
  </si>
  <si>
    <t>010620</t>
  </si>
  <si>
    <t>NEGACIÓN DE AFILIACIÓN A AGREMIACIONES O ASOCIACIONES</t>
  </si>
  <si>
    <t>100702</t>
  </si>
  <si>
    <t>010436</t>
  </si>
  <si>
    <t>010204</t>
  </si>
  <si>
    <t>020105</t>
  </si>
  <si>
    <t>ALIAS</t>
  </si>
  <si>
    <t>EPS044</t>
  </si>
  <si>
    <t>MEDIMÁS</t>
  </si>
  <si>
    <t>EPS016</t>
  </si>
  <si>
    <t>COOMEVA</t>
  </si>
  <si>
    <t>EPS042</t>
  </si>
  <si>
    <t>COOSALUD</t>
  </si>
  <si>
    <t>EPS018</t>
  </si>
  <si>
    <t>SERVICIO OCCIDENTAL DE SALUD (SOS)</t>
  </si>
  <si>
    <t>EPS012</t>
  </si>
  <si>
    <t>COMFENALCO VALLE</t>
  </si>
  <si>
    <t>EPS017</t>
  </si>
  <si>
    <t>FAMISANAR</t>
  </si>
  <si>
    <t>EPS037</t>
  </si>
  <si>
    <t>NUEVA EPS</t>
  </si>
  <si>
    <t>EPS008</t>
  </si>
  <si>
    <t>COMPENSAR</t>
  </si>
  <si>
    <t>EPS002</t>
  </si>
  <si>
    <t>SALUD TOTAL</t>
  </si>
  <si>
    <t>EPS005</t>
  </si>
  <si>
    <t>EPS001</t>
  </si>
  <si>
    <t>ALIANSALUD</t>
  </si>
  <si>
    <t>EPS046</t>
  </si>
  <si>
    <t>EPS010</t>
  </si>
  <si>
    <t>EPS SURA</t>
  </si>
  <si>
    <t>ALIAS BD</t>
  </si>
  <si>
    <t>EPS045</t>
  </si>
  <si>
    <t>EPSS34</t>
  </si>
  <si>
    <t>CAPITAL SALUD</t>
  </si>
  <si>
    <t>EPS022</t>
  </si>
  <si>
    <t>CONVIDA</t>
  </si>
  <si>
    <t>CCF024</t>
  </si>
  <si>
    <t>CCF HUILA "COMFAMILIAR HUILA"</t>
  </si>
  <si>
    <t>ESS091</t>
  </si>
  <si>
    <t>ECOOPSOS</t>
  </si>
  <si>
    <t>EPSS40</t>
  </si>
  <si>
    <t>SAVIA SALUD EPS</t>
  </si>
  <si>
    <t>ESS133</t>
  </si>
  <si>
    <t>CCF055</t>
  </si>
  <si>
    <t>CCF ATLÁNTICO "CAJACOPI"</t>
  </si>
  <si>
    <t>ESS076</t>
  </si>
  <si>
    <t>ESS062</t>
  </si>
  <si>
    <t>ASMET SALUD</t>
  </si>
  <si>
    <t>ESS118</t>
  </si>
  <si>
    <t>EMSSANAR</t>
  </si>
  <si>
    <t>EPSS41</t>
  </si>
  <si>
    <t>ESS024</t>
  </si>
  <si>
    <t>CCF033</t>
  </si>
  <si>
    <t>CCF DE SUCRE</t>
  </si>
  <si>
    <t>CCF102</t>
  </si>
  <si>
    <t>CCF CHOCÓ "COMFACHOCÓ"</t>
  </si>
  <si>
    <t>CCF027</t>
  </si>
  <si>
    <t>EPS025</t>
  </si>
  <si>
    <t>CAPRESOCA</t>
  </si>
  <si>
    <t>ESS207</t>
  </si>
  <si>
    <t>MUTUAL SER</t>
  </si>
  <si>
    <t>EPSI06</t>
  </si>
  <si>
    <t>PIJAOS SALUD (EPS-I)</t>
  </si>
  <si>
    <t>EPSI03</t>
  </si>
  <si>
    <t>AIC - ASOCIACIÓN INDÍGENA DEL CAUCA (EPS-I CAUCA)</t>
  </si>
  <si>
    <t>CCF049</t>
  </si>
  <si>
    <t>CCF ORIENTE "COMFAORIENTE"</t>
  </si>
  <si>
    <t>CCF023</t>
  </si>
  <si>
    <t>CCF DE LA GUAJIRA</t>
  </si>
  <si>
    <t>EPSI05</t>
  </si>
  <si>
    <t>EPSI04</t>
  </si>
  <si>
    <t>ANAS WAYUU (EPS-I)</t>
  </si>
  <si>
    <t>EPSI01</t>
  </si>
  <si>
    <t>DUSAKAWI (EPS-I CESAR Y GUAJIRA)</t>
  </si>
  <si>
    <t>ENT_ALIAS_SNS</t>
  </si>
  <si>
    <t>MAGISTERIO</t>
  </si>
  <si>
    <t>FUERZAS MILITARES</t>
  </si>
  <si>
    <t>ARL - POSITIVA</t>
  </si>
  <si>
    <t>FONDO DE PASIVO SOCIAL DE FERROCARRILES NACIONALES DE COLOMBIA.</t>
  </si>
  <si>
    <t>ARL - SURAMERICANA</t>
  </si>
  <si>
    <t>WEB</t>
  </si>
  <si>
    <t>PERSONALIZADO</t>
  </si>
  <si>
    <t>REDES SOCIALES</t>
  </si>
  <si>
    <t>PROMEDIO 1,54</t>
  </si>
  <si>
    <t>TOTAL AÑO 2.021</t>
  </si>
  <si>
    <t>DEMORA DE LA AUTORIZACIÓN DE EXÁMENES DE LABORATORIO O DIAGNÓSTICOS</t>
  </si>
  <si>
    <t>DEMORA DE LA PROGRAMACIÓN DE EXÁMENES DE LABORATORIO O DIAGNÓSTICOS</t>
  </si>
  <si>
    <t>FUNDACIÓN SALUD MÍA</t>
  </si>
  <si>
    <t>EPS048</t>
  </si>
  <si>
    <t>POLICÍA NACIONAL</t>
  </si>
  <si>
    <t>DIRECCIÓN SECCIONAL DE SALUD DE ANTIOQUIA</t>
  </si>
  <si>
    <t>SÁNITAS</t>
  </si>
  <si>
    <r>
      <rPr>
        <sz val="11"/>
        <color indexed="8"/>
        <rFont val="Calibri"/>
        <family val="2"/>
        <scheme val="minor"/>
      </rPr>
      <t>PETICIONES, QUEJAS RECLAMOS O DENUNCIAS</t>
    </r>
    <r>
      <rPr>
        <sz val="11"/>
        <color theme="1"/>
        <rFont val="Calibri"/>
        <family val="2"/>
        <scheme val="minor"/>
      </rPr>
      <t>*</t>
    </r>
  </si>
  <si>
    <t>RESTRICCIÓN EN EL ACCESO A LOS SERVICIOS DE SALUD</t>
  </si>
  <si>
    <t xml:space="preserve">INSATISFACCIÓN DEL USUARIO CON EL PROCESO ADMINISTRATIVO </t>
  </si>
  <si>
    <t>DEFICIENCIA EN LA EFECTIVIDAD DE LA ATENCIÓN EN SALUD</t>
  </si>
  <si>
    <t>NO RECONOCIMIENTO DE LAS PRESTACIONES ECONÓMICAS</t>
  </si>
  <si>
    <t>FALTA DE DISPONIBILIDAD O INAPROPIADO MANEJO DEL RECURSOS HUMANO Y FÍSICO PARA LA ATENCIÓN</t>
  </si>
  <si>
    <t>AFILIADOS 12 MESES</t>
  </si>
  <si>
    <t>41001 - NEIVA</t>
  </si>
  <si>
    <t>63001 - ARMENIA</t>
  </si>
  <si>
    <t>19001 - POPAYÁN</t>
  </si>
  <si>
    <t>17001 - MANIZALES</t>
  </si>
  <si>
    <t>66001 - PEREIRA</t>
  </si>
  <si>
    <t>68001 - BUCARAMANGA</t>
  </si>
  <si>
    <t>73001 - IBAGUÉ</t>
  </si>
  <si>
    <t>05001 - MEDELLÍN</t>
  </si>
  <si>
    <t>50001 - VILLAVICENCIO</t>
  </si>
  <si>
    <t>76001 - CALI</t>
  </si>
  <si>
    <t>11001 - BOGOTÁ D.C.</t>
  </si>
  <si>
    <t>88001 - SAN ANDRÉS</t>
  </si>
  <si>
    <t>99001 - PUERTO CARREÑO</t>
  </si>
  <si>
    <t>08001 - BARRANQUILLA</t>
  </si>
  <si>
    <t>95001 - SAN JOSÉ DEL GUAVIARE</t>
  </si>
  <si>
    <t>27001 - QUIBDÓ</t>
  </si>
  <si>
    <t>15001 - TUNJA</t>
  </si>
  <si>
    <t>97001 - MITÚ</t>
  </si>
  <si>
    <t>85001 - YOPAL</t>
  </si>
  <si>
    <t>20001 - VALLEDUPAR</t>
  </si>
  <si>
    <t>81001 - ARAUCA</t>
  </si>
  <si>
    <t>70001 - SINCELEJO</t>
  </si>
  <si>
    <t>52001 - PASTO</t>
  </si>
  <si>
    <t>54001 - CÚCUTA</t>
  </si>
  <si>
    <t>47001 - SANTA MARTA</t>
  </si>
  <si>
    <t>91001 - LETICIA</t>
  </si>
  <si>
    <t>23001 - MONTERÍA</t>
  </si>
  <si>
    <t>94001 - PUERTO INÍRIDA</t>
  </si>
  <si>
    <t>13001 - CARTAGENA</t>
  </si>
  <si>
    <t>18001 - FLORENCIA</t>
  </si>
  <si>
    <t>86001 - MOCOA</t>
  </si>
  <si>
    <t>44001 - RIOHACHA</t>
  </si>
  <si>
    <t>PROMEDIO 12 MESES</t>
  </si>
  <si>
    <t>AFILIADOS PROMEDIO ÚLTIMOS 12 MESES</t>
  </si>
  <si>
    <t>PROMEDIO =1,58</t>
  </si>
  <si>
    <t>TOTAL PQRD 2.021</t>
  </si>
  <si>
    <t>*TOTAL PQRD 2021</t>
  </si>
  <si>
    <r>
      <t>* TASA</t>
    </r>
    <r>
      <rPr>
        <sz val="8"/>
        <color rgb="FF000000"/>
        <rFont val="Arial"/>
        <family val="2"/>
      </rPr>
      <t>: NÚMERO DE QUEJAS POR CADA 1.000 AFILIADOS SE CALCULA: PQRD/NÚMERO AFILIADOS POR 1.000</t>
    </r>
  </si>
  <si>
    <r>
      <t xml:space="preserve">* </t>
    </r>
    <r>
      <rPr>
        <b/>
        <sz val="8"/>
        <color rgb="FF000000"/>
        <rFont val="Arial"/>
        <family val="2"/>
      </rPr>
      <t>PQRD</t>
    </r>
    <r>
      <rPr>
        <sz val="8"/>
        <color rgb="FF000000"/>
        <rFont val="Arial"/>
        <family val="2"/>
      </rPr>
      <t>: SE INCLUYEN TODAS DE PQRD.</t>
    </r>
  </si>
  <si>
    <r>
      <rPr>
        <b/>
        <sz val="8"/>
        <color rgb="FF000000"/>
        <rFont val="Arial"/>
        <family val="2"/>
      </rPr>
      <t>* TOTAL AFILIADOS</t>
    </r>
    <r>
      <rPr>
        <sz val="8"/>
        <color rgb="FF000000"/>
        <rFont val="Arial"/>
        <family val="2"/>
      </rPr>
      <t>: = TOTAL DE AFILIADOS DEL MES EN MENCIÓN, EN ESTADO ACTIVO, ACTIVO POR EMERGENCIA, PROTECCIÓN LABORAL, SUSPENDIDO, SUSPENDIDO POR DOCUMENTO Y SUSPENDIDO POR MORA QUE SE ENCUENTRAN EN LA BASE DE SISPRO.</t>
    </r>
  </si>
  <si>
    <r>
      <rPr>
        <b/>
        <sz val="8"/>
        <color rgb="FF000000"/>
        <rFont val="Arial"/>
        <family val="2"/>
      </rPr>
      <t>* PQRD</t>
    </r>
    <r>
      <rPr>
        <sz val="8"/>
        <color indexed="8"/>
        <rFont val="Arial"/>
        <family val="2"/>
      </rPr>
      <t>: SE INCLUYEN TODAS DE PQRD.</t>
    </r>
  </si>
  <si>
    <r>
      <rPr>
        <b/>
        <sz val="8"/>
        <color rgb="FF000000"/>
        <rFont val="Arial"/>
        <family val="2"/>
      </rPr>
      <t>* TASA:</t>
    </r>
    <r>
      <rPr>
        <sz val="8"/>
        <color indexed="8"/>
        <rFont val="Arial"/>
        <family val="2"/>
      </rPr>
      <t xml:space="preserve"> NÚMERO DE QUEJAS POR CADA 1.000 AFILIADOS SE CALCULA: PQRD/NÚMERO AFILIADOS POR 1.000</t>
    </r>
  </si>
  <si>
    <r>
      <rPr>
        <b/>
        <sz val="8"/>
        <color rgb="FF000000"/>
        <rFont val="Arial"/>
        <family val="2"/>
      </rPr>
      <t>* PQRD:</t>
    </r>
    <r>
      <rPr>
        <sz val="8"/>
        <color indexed="8"/>
        <rFont val="Arial"/>
        <family val="2"/>
      </rPr>
      <t xml:space="preserve"> SE INCLUYEN TODAS DE PQRD.</t>
    </r>
  </si>
  <si>
    <r>
      <rPr>
        <b/>
        <sz val="8"/>
        <color rgb="FF000000"/>
        <rFont val="Arial"/>
        <family val="2"/>
      </rPr>
      <t>* TOTAL AFILIADOS:</t>
    </r>
    <r>
      <rPr>
        <sz val="8"/>
        <color indexed="8"/>
        <rFont val="Arial"/>
        <family val="2"/>
      </rPr>
      <t xml:space="preserve">  TOTAL DE AFILIADOS DEL MES EN MENCIÓN, EN ESTADO ACTIVO, ACTIVO POR EMERGENCIA, PROTECCIÓN LABORAL, SUSPENDIDO, SUSPENDIDO POR DOCUMENTO Y SUSPENDIDO POR MORA QUE SE ENCUENTRAN EN LA BASE DE SISPRO.</t>
    </r>
  </si>
  <si>
    <r>
      <rPr>
        <b/>
        <sz val="8"/>
        <color rgb="FF000000"/>
        <rFont val="Arial"/>
        <family val="2"/>
      </rPr>
      <t>* TASA</t>
    </r>
    <r>
      <rPr>
        <sz val="8"/>
        <color indexed="8"/>
        <rFont val="Arial"/>
        <family val="2"/>
      </rPr>
      <t>: NÚMERO DE QUEJAS POR CADA 1.000 AFILIADOS SE CALCULA: PQRD/NÚMERO AFILIADOS POR 1.000</t>
    </r>
  </si>
  <si>
    <t>CÁLCULO DE TASA CON EL NÚMERO DE AFILIADOS DEL ÚLTIMO MES</t>
  </si>
  <si>
    <t>MALLAMÁS (EPS-I)</t>
  </si>
  <si>
    <t>COMPAÑIA SURAMERICANA DE SERVICIOS DE SALUD S. A.</t>
  </si>
  <si>
    <t>TABLA 5. PQRD POR CAPITAL DE DEPARTAMENTO</t>
  </si>
  <si>
    <t>TABLA 6. PQRD POR MACROMOTIVO</t>
  </si>
  <si>
    <t>TABLA 7. PQRD POR MOTIVOS ESPECÍFICOS</t>
  </si>
  <si>
    <t>TABLA 8. PQRD POR EPS RÉGIMEN CONTRIBUTIVO</t>
  </si>
  <si>
    <t>TABLA 9. PQRD POR EPS RÉGIMEN SUBSIDIADO</t>
  </si>
  <si>
    <t>TABLA 10. PQRD POR OTRO TIPO DE VIGILADO</t>
  </si>
  <si>
    <t>DEMORA DE LA REFERENCIA O CONTRARREFERENCIA</t>
  </si>
  <si>
    <t>010312</t>
  </si>
  <si>
    <t>040107</t>
  </si>
  <si>
    <t>010313</t>
  </si>
  <si>
    <t>010116</t>
  </si>
  <si>
    <t>010143</t>
  </si>
  <si>
    <t>010144</t>
  </si>
  <si>
    <t>010140</t>
  </si>
  <si>
    <t>010142</t>
  </si>
  <si>
    <t>010141</t>
  </si>
  <si>
    <t>UNIVERSIDAD DEL CAUCA</t>
  </si>
  <si>
    <t>UNIDAD ADMINISTRATIVA ESPECIAL DE SALUD U CORDOBA</t>
  </si>
  <si>
    <t>UNIVERSIDAD INDUSTRIAL DE SANTANDER UIS</t>
  </si>
  <si>
    <t>DEMORA DE LA TOMA DE EXÁMENES DE LABORATORIO - COVID 19</t>
  </si>
  <si>
    <t>FALTA DE OPORTUNIDAD EN LA ENTREGA DE RESULTADOS DE EXÁMENES DE LABORATORIO - COVID 19</t>
  </si>
  <si>
    <t>FALTA DE OPORTUNIDAD EN EL AGENDAMIENTO Y/O APLICACIÓN DE VACUNA COVID19</t>
  </si>
  <si>
    <t>OTROS VACUNA COVID19</t>
  </si>
  <si>
    <t>FALLAS EN EL MANEJO DEL CONOCIMIENTO INFORMADO</t>
  </si>
  <si>
    <t>NEGACIÓN DE INCLUSIÓN EN PRIORIZACIÓN POR EAPB</t>
  </si>
  <si>
    <t>DEMORAS EN EL PROCESO DE POSTULACIÓN POR PARTE DE LA EAPB</t>
  </si>
  <si>
    <t>INCUMPLIMIENTO EN OTRAS ACCIONES OBLIGATORIAS DE VIGILANCIA EN SALUD PUBLICA</t>
  </si>
  <si>
    <t>100302</t>
  </si>
  <si>
    <t>010138</t>
  </si>
  <si>
    <t>010139</t>
  </si>
  <si>
    <t>100604</t>
  </si>
  <si>
    <t>ASEGURADORA SOLIDARIA DE COLOMBIA LTDA.</t>
  </si>
  <si>
    <t>SERVICIO DE SALUD INMEDIATO MEDICINA PREPAGADA S.A.</t>
  </si>
  <si>
    <t>QUINDÍO</t>
  </si>
  <si>
    <t>INCUMPLIMIENTO DEL REPORTE DE LOS INDICADORES DE ALERTA TEMPRANA POR PARTE DE LOS PRESTADORES DE SERVICIOS DE SALUD A LAS EAPB</t>
  </si>
  <si>
    <t>010223</t>
  </si>
  <si>
    <t>010226</t>
  </si>
  <si>
    <t>010433</t>
  </si>
  <si>
    <t>100506</t>
  </si>
  <si>
    <t>010135</t>
  </si>
  <si>
    <t>100405</t>
  </si>
  <si>
    <t>101001</t>
  </si>
  <si>
    <t>UNIVERSIDAD PEDAGOGICA Y TECNOLOGICA DE COLOMBIA (UPTC)</t>
  </si>
  <si>
    <t>SECRETARÍA DE SALUD DEPARTAMENTAL DEL VALLE</t>
  </si>
  <si>
    <t>ENFERMEDADES INMUNOPREVENIBLES</t>
  </si>
  <si>
    <t>020102</t>
  </si>
  <si>
    <t>101301</t>
  </si>
  <si>
    <t>UNIVERSIDAD DE NARIÑO</t>
  </si>
  <si>
    <t>FALTA DE OPORTUNIDAD EN LA ENTREGA DE MEDICAMENTOS NO POS PARA ENFERMEDADES RARAS O HUÉRFANAS</t>
  </si>
  <si>
    <t>SUMINISTRO HOSPITALARIO POS INSUFICIENTE</t>
  </si>
  <si>
    <t>SUMINISTRO HOSPITALARIO NO- POS INSUFICIENTE</t>
  </si>
  <si>
    <t>050103</t>
  </si>
  <si>
    <t>010434</t>
  </si>
  <si>
    <t>LA PREVISORA CIA DE SEGUROS S.A.</t>
  </si>
  <si>
    <t>LA EQUIDAD SEGUROS GENERALES</t>
  </si>
  <si>
    <t>CARDIF COLOMBIA SEGUROS GENERALES</t>
  </si>
  <si>
    <t>FALTA DE OPORTUNIDAD EN LA ASIGNACIÓN DE CITAS DE CONSULTA MÉDICA GENERAL</t>
  </si>
  <si>
    <t xml:space="preserve"> **NO SE CALCULA TASA DE PQRD DE COMPARTA POR LIQUIDACIÓN.</t>
  </si>
  <si>
    <t xml:space="preserve"> **NO SE CALCULA TASA DE PQRD DE CCF DE NARIÑO POR LIQUIDACIÓN.</t>
  </si>
  <si>
    <t>FALTA DE OPORTUNIDAD EN LA ASIGNACIÓN DE CITAS DE CONSULTA MÉDICA ESPECIALIZADA DE OTRAS ESPECIALIDADES MÉDICAS</t>
  </si>
  <si>
    <r>
      <rPr>
        <b/>
        <sz val="8"/>
        <color rgb="FF000000"/>
        <rFont val="Arial"/>
        <family val="2"/>
      </rPr>
      <t xml:space="preserve">* TOTAL AFILIADOS:  </t>
    </r>
    <r>
      <rPr>
        <sz val="8"/>
        <color rgb="FF000000"/>
        <rFont val="Arial"/>
        <family val="2"/>
      </rPr>
      <t>T</t>
    </r>
    <r>
      <rPr>
        <sz val="8"/>
        <color indexed="8"/>
        <rFont val="Arial"/>
        <family val="2"/>
      </rPr>
      <t>OTAL DE AFILIADOS DEL MES EN MENCIÓN, EN ESTADO ACTIVO, ACTIVO POR EMERGENCIA, PROTECCIÓN LABORAL, SUSPENDIDO, SUSPENDIDO POR DOCUMENTO Y SUSPENDIDO POR MORA QUE SE ENCUENTRAN EN LA BASE DE SISPRO.</t>
    </r>
  </si>
  <si>
    <t xml:space="preserve"> **NO SE CALCULA TASA POR LIQUIDACIÓN.</t>
  </si>
  <si>
    <t>**COMPARTA</t>
  </si>
  <si>
    <t>**CCF DE NARIÑO</t>
  </si>
  <si>
    <t>**AMBUQ (BARRIOS UNIDOS DE QUIBDÓ)</t>
  </si>
  <si>
    <t>010224</t>
  </si>
  <si>
    <t>100401</t>
  </si>
  <si>
    <t>100902</t>
  </si>
  <si>
    <t>DEMORA DE LA AUTORIZACIÓN DE CONSULTAS MÉDICAS ESPECIALIZADA</t>
  </si>
  <si>
    <t>FALTA DE OPORTUNIDAD PARA LA PRESTACIÓN DE SERVICIOS DE IMAGENOLOGÍA DE  SEGUNDO Y TERCER NIVEL</t>
  </si>
  <si>
    <t>SECRETARIA DE SALUD DE VAUPÉS</t>
  </si>
  <si>
    <t>COMPARTA</t>
  </si>
  <si>
    <t>*CCF DE NARIÑO</t>
  </si>
  <si>
    <t>*AMBUQ (BARRIOS UNIDOS DE QUIBDÓ)</t>
  </si>
  <si>
    <t>FALTA DE OPORTUNIDAD EN LA PROGRAMACIÓN DE CIRUGÍA</t>
  </si>
  <si>
    <t>SECRETARÍA DISTRITAL DE SALUD  DE BOGOTÁ</t>
  </si>
  <si>
    <t>*AFILIADOS DICIEMBRE 2021</t>
  </si>
  <si>
    <t>FALTA DE OPORTUNIDAD EN LA ENTREGA DE MEDICAMENTOS POS</t>
  </si>
  <si>
    <t>FALTA DE OPORTUNIDAD EN LA ENTREGA DE MEDICAMENTOS NO POS</t>
  </si>
  <si>
    <t>DEMORA DE LA AUTORIZACIÓN DE MEDICAMENTOS NO-POS</t>
  </si>
  <si>
    <t>NO APLICACIÓN DE NORMAS, GUÍAS O PROTOCOLOS DE ATENCIÓN</t>
  </si>
  <si>
    <t>NO RECONOCIMIENTO Y PAGO DE LAS PRESTACIONES ECONÓMICAS DERIVADAS DE LICENCIA DE ENFERMEDAD GENERAL</t>
  </si>
  <si>
    <t>FALTA DE OPORTUNIDAD EN LA ASIGNACIÓN DE CITAS DE CONSULTA MÉDICA ESPECIALIZADA DE MEDICINA INTERNA</t>
  </si>
  <si>
    <t>DIFICULTAD DE COMUNICACIÓN CON LAS LÍNEAS PARA CITAS</t>
  </si>
  <si>
    <t>DEMORA DE LA AUTORIZACIÓN DE MEDICAMENTOS POS</t>
  </si>
  <si>
    <t>DEMORA DE LA AUTORIZACIÓN DE ATENCIONES DOMICILIARIAS</t>
  </si>
  <si>
    <t>DEMORA DE LA AUTORIZACIÓN DE CIRUGÍA POS</t>
  </si>
  <si>
    <t>DEMORA DE LA AUTORIZACIÓN DE INSUMOS NO-POS</t>
  </si>
  <si>
    <t>RESTRICCIÓN EN LA LIBRE ESCOGENCIA DE EPS</t>
  </si>
  <si>
    <t>DEMORA DE LA AUTORIZACIÓN DE PROCEDIMIENTOS POS</t>
  </si>
  <si>
    <t>FALTA DE OPORTUNIDAD EN LA PROGRAMACIÓN DE PROCEDIMIENTOS QUIRÚRGICOS</t>
  </si>
  <si>
    <t>FALTA DE OPORTUNIDAD PARA LA ATENCIÓN DE SERVICIOS DE APOYO TERAPÉUTICO (TERAPIAS FÍSICAS, RESPIRATORIAS, OCUPACIONALES, DEL LENGUAJE ETC.)</t>
  </si>
  <si>
    <t>FALTA DE OPORTUNIDAD PARA LA PRESTACIÓN DE SERVICIOS DE LABORATORIO CLÍNICO Y ANATOMO-PATOLOGÍA</t>
  </si>
  <si>
    <t>USUARIO DESINFORMADO FRENTE AL SERVICIO DE ATENCIÓN EN SALUD QUE LE ESTÁN PRESTANDO</t>
  </si>
  <si>
    <t>FALTA DE OPORTUNIDAD EN LA ASIGNACIÓN DE CITAS DE CONSULTA MÉDICA ESPECIALIZADA GINECOLOGÍA</t>
  </si>
  <si>
    <t>DEMORA EN EL RECONOCIMIENTO DE REEMBOLSOS (VIÁTICOS)</t>
  </si>
  <si>
    <t>FALTA DE OPORTUNIDAD EN LA ASIGNACIÓN DE CITAS DE CONSULTA ODONTOLÓGICA BÁSICA</t>
  </si>
  <si>
    <t>RESTRICCIÓN EN LA LIBRE ESCOGENCIA DE IPS</t>
  </si>
  <si>
    <t>FALTA DE OPORTUNIDAD EN LA ASIGNACIÓN DE CITAS DE CONSULTA MÉDICA ESPECIALIZADA DE CARDIOLOGÍA</t>
  </si>
  <si>
    <t>BARRERAS DE ACCESO EN LA AFILIACIÓN (TRAMITES NO CONTEMPLADOS POR LA LEY)</t>
  </si>
  <si>
    <t>DEMORA DE LA AUTORIZACIÓN DE CIRUGÍA NO POS</t>
  </si>
  <si>
    <t>DEMORA DE LA AUTORIZACIÓN DE INSUMOS POS</t>
  </si>
  <si>
    <t>FALTA DE OPORTUNIDAD EN LA ASIGNACIÓN DE CITAS DE CONSULTA MÉDICA ESPECIALIZADA PEDIATRÍA</t>
  </si>
  <si>
    <t>CÁNCER</t>
  </si>
  <si>
    <t>DEMORA DE LA AUTORIZACIÓN DE HOSPITALIZACIONES</t>
  </si>
  <si>
    <t>DEMORA DE LA AUTORIZACIÓN DE ELEMENTOS PARA TERAPIAS FÍSICAS, OCUPACIONALES, RESPIRATORIAS Y DEL LENGUAJE</t>
  </si>
  <si>
    <t>DEMORA DE LA AUTORIZACIÓN DE CONSULTA MÉDICA GENERAL</t>
  </si>
  <si>
    <t>FALTA DE OPORTUNIDAD EN LA ASIGNACIÓN DE CITAS DE CONSULTA MÉDICA ESPECIALIZADA DE GASTROENTEROLOGÍA</t>
  </si>
  <si>
    <t>NEGACIÓN DE LA AUTORIZACIÓN PARA TRASPORTE DE AMBULANCIA AMBULATORIA</t>
  </si>
  <si>
    <t>DEMORA DE LA AUTORIZACIÓN DE PROCEDIMIENTOS NO-POS</t>
  </si>
  <si>
    <t>FALTA DE OPORTUNIDAD EN LA ATENCIÓN EN EL SERVICIO DE URGENCIAS</t>
  </si>
  <si>
    <t>FALLAS O IRREGULARIDADES EN EL MANEJO TÉCNICO DE LA HISTORIA CLÍNICA Y/O REGISTROS ASISTENCIALES</t>
  </si>
  <si>
    <t>DEMORA DE LA AUTORIZACIÓN DE SERVICIOS DE ALTO COSTO PARA:  CÁNCER</t>
  </si>
  <si>
    <t>NO RECONOCIMIENTO Y PAGO DE LAS PRESTACIONES ECONÓMICAS DERIVADAS DE LICENCIA DE MATERNIDAD</t>
  </si>
  <si>
    <t>DESAFILIACIÓN</t>
  </si>
  <si>
    <t>FALTA DE OPORTUNIDAD PARA LA PRESTACIÓN DE SERVICIOS DE IMAGENOLOGÍA DE PRIMER NIVEL</t>
  </si>
  <si>
    <t>TRÁMITES ADMINISTRATIVOS PARA LA AFILIACIÓN QUE SON RESPONSABILIDAD DE LA EPS, TRASLADADOS AL USUARIO</t>
  </si>
  <si>
    <t>FALTA DE OPORTUNIDAD EN LA PRESTACIÓN DE SERVICIOS DE PROMOCIÓN Y PREVENCIÓN</t>
  </si>
  <si>
    <t>PRESUNTAS FALLAS EN LA ÉTICA MÉDICA</t>
  </si>
  <si>
    <t>DIFICULTAD DE COMUNICACIÓN CON LAS LÍNEAS DE ATENCIÓN AL CLIENTE</t>
  </si>
  <si>
    <t>FALTA DE OPORTUNIDAD EN LA EVALUACIÓN DE MEDICINA LABORAL DE LAS EPS, PARA DEFINIR ORIGEN DE LA ENFERMEDAD</t>
  </si>
  <si>
    <t>NEGACIÓN DE LA AUTORIZACIÓN DE ATENCIONES DOMICILIARIAS</t>
  </si>
  <si>
    <t>NO RECONOCIMIENTO DE LAS PRESTACIONES ECONÓMICAS DERIVADAS INCAPACIDAD DE ENFERMEDAD PROFESIONAL</t>
  </si>
  <si>
    <t>NEGACIÓN PARA LA ENTREGA DE MEDICAMENTOS NO POS</t>
  </si>
  <si>
    <t>DEMORA DE LA AUTORIZACIÓN DE SERVICIOS DE URGENCIAS</t>
  </si>
  <si>
    <t>NO RECONOCIMIENTO Y PAGO DE LAS PRESTACIONES ECONÓMICAS DERIVADAS INCAPACIDAD DE ENFERMEDAD PROFESIONAL</t>
  </si>
  <si>
    <t>FALTA DE CONTRATACIÓN PARA LA ENTREGA OPORTUNA Y CONTINUA DE MEDICAMENTOS DE ALTO COSTO</t>
  </si>
  <si>
    <t>FALTA DE OPORTUNIDAD EN LA HOSPITALIZACIÓN</t>
  </si>
  <si>
    <t>DEMORA EN EL RECONOCIMIENTO DE REEMBOLSOS (PROCEDIMIENTOS U HOSPITALIZACIÓN)</t>
  </si>
  <si>
    <t>DEMORA DE LA AUTORIZACIÓN DE CONSULTAS MÉDICAS SUB-ESPECIALIZADAS</t>
  </si>
  <si>
    <t>FALTA DE OPORTUNIDAD EN LA ASIGNACIÓN DE UCI</t>
  </si>
  <si>
    <t>NEGACIÓN DE LA PRESTACIÓN DE SERVICIOS DE IMAGENOLOGÍA</t>
  </si>
  <si>
    <t>NEGACIÓN DE LA AUTORIZACIÓN DE INSUMOS NO POS</t>
  </si>
  <si>
    <t>NEGACIÓN AFILIACIÓN</t>
  </si>
  <si>
    <t>RESTRICCIÓN EN LA LIBRE ESCOGENCIA DE MÉDICO ESPECIALISTA</t>
  </si>
  <si>
    <t>NEGACIÓN DE LA AUTORIZACIÓN DE EXÁMENES DE LABORATORIO O DIAGNÓSTICOS</t>
  </si>
  <si>
    <t>NEGACIÓN DE LA PRESTACIÓN DEL SERVICIO DE URGENCIAS</t>
  </si>
  <si>
    <t>NEGACIÓN DEL REEMBOLSO</t>
  </si>
  <si>
    <t>NEGACIÓN PARA LA ENTREGA DE MEDICAMENTOS POS</t>
  </si>
  <si>
    <t>DEMORA DE LA AUTORIZACIÓN DE ELEMENTOS DE AYUDAS AUDITIVAS</t>
  </si>
  <si>
    <t>SEGUIMIENTO A DERECHOS DE PETICIÓN</t>
  </si>
  <si>
    <t>NEGACIÓN PARA LA PROGRAMACIÓN Y/O REALIZACIÓN DE CIRUGÍA</t>
  </si>
  <si>
    <t>NEGACIÓN DE LA CONSULTA MÉDICA ESPECIALIZADA DE MEDICINA INTERNA DE OTRAS ESPECIALIDADES MÉDICAS</t>
  </si>
  <si>
    <t>NEGACIÓN DE LA AUTORIZACIÓN DE CONSULTAS MÉDICAS ESPECIALIZADA</t>
  </si>
  <si>
    <t>RESTRICCIÓN EN LA LIBRE ESCOGENCIA DE EPS POR ASIGNACIÓN FORZOSA</t>
  </si>
  <si>
    <t>NEGACIÓN DE LA AUTORIZACIÓN DE MEDICAMENTOS NO-POS</t>
  </si>
  <si>
    <t>NEGACIÓN DE LA CONSULTA MÉDICA GENERAL</t>
  </si>
  <si>
    <t>AMBULANCIA INADECUADA PARA EL TRASLADO DEL PACIENTE SEGÚN EL NIVEL DE  COMPLEJIDAD (REFERENCIA-CONTRARREFERENCIA)</t>
  </si>
  <si>
    <t>FALLAS EN LA OPORTUNIDAD PARA LA UBICACIÓN DEL USUARIO (REFERENCIA-CONTRARREFERENCIA)</t>
  </si>
  <si>
    <t>FALLAS EN EL MANEJO, ALMACENAMIENTO DE MEDICAMENTOS Y DISPOSITIVOS MÉDICOS</t>
  </si>
  <si>
    <t>INCAPACIDAD DE LOS SERVICIOS PARA ACTUAR DE FORMA SINCRÓNICA Y ARTICULADA (ATENCIÓN FRAGMENTADA)</t>
  </si>
  <si>
    <t>INCUMPLIMIENTO DE NORMAS TÉCNICAS Y GUÍAS DE ATENCIÓN DE LAS INTERVENCIONES DE PROTECCIÓN ESPECÍFICA Y DETECCIÓN TEMPRANA-CONTROL DEL EMBARAZO Y ATENCIÓN DEL PARTO</t>
  </si>
  <si>
    <t>FALTA DE OPORTUNIDAD EN LA AUTORIZACIÓN DE MEDICAMENTOS, SERVICIOS MÉDICOS Y PRESTACIONES DE SALUD NO-POS POR LA DELEGACIÓN AL USUARIO DEL TRÁMITE DE PRESENTACIÓN ANTE EL CTC</t>
  </si>
  <si>
    <t>NEGACIÓN DE LA AUTORIZACIÓN DE MEDICAMENTOS POS</t>
  </si>
  <si>
    <t>NEGACIÓN DE INSUMOS MÉDICOS HOSPITALARIOS</t>
  </si>
  <si>
    <t>NEGACIÓN DE INSUMOS MÉDICOS HOSPITALARIOS NO-POS</t>
  </si>
  <si>
    <t>FALTA DE DIRECCIONAMIENTO EN LA INFORMACIÓN, E INFORMACIÓN ERRADA SUMINISTRADA</t>
  </si>
  <si>
    <t>NEGACIÓN DE LA AUTORIZACIÓN DE CIRUGÍA POS</t>
  </si>
  <si>
    <t>RECURSO HUMANO NO IDÓNEO</t>
  </si>
  <si>
    <t>FALTA DE PUNTOS DE ATENCIÓN CERCANOS</t>
  </si>
  <si>
    <t>MALA O DEFICIENTE INFORMACIÓN SOBRE LOS SERVICIOS</t>
  </si>
  <si>
    <t>INCONSISTENCIA EN EL COBRO DE COPAGO EN EL RÉGIMEN SUBSIDIADO SEGÚN NIVEL</t>
  </si>
  <si>
    <t>NEGACIÓN DE LA CONSULTA MÉDICA ESPECIALIZADA DE MEDICINA INTERNA</t>
  </si>
  <si>
    <t>ENFERMEDADES CRÓNICAS NO TRANSMISIBLES DIABETES</t>
  </si>
  <si>
    <t>NO RECONOCIMIENTO Y PAGO DE LAS PRESTACIONES ECONÓMICAS DERIVADAS INCAPACIDAD DE ACCIDENTE DE TRANSITO</t>
  </si>
  <si>
    <t>FALTA DE CONTRATACIÓN PARA LA PRESTACIÓN OPORTUNA Y CONTINUA DE PROCEDIMIENTOS Y/O SERVICIOS DE ALTO COSTO</t>
  </si>
  <si>
    <t>NEGACIÓN SERVICIOS DE APOYO TERAPÉUTICO (TERAPIAS FÍSICAS, RESPIRATORIAS, OCUPACIONALES ETC.)</t>
  </si>
  <si>
    <t>NEGACIÓN DE LA AUTORIZACIÓN DE INSUMOS POS</t>
  </si>
  <si>
    <t>DEMORA DE LA AUTORIZACIÓN DE SERVICIOS DE ALTO COSTO PARA: ENFERMEDAD RENAL</t>
  </si>
  <si>
    <t>DEMORA DE LA AUTORIZACIÓN DE MEDICAMENTOS NO-POS PARA ENFERMEDADES RARAS O HUÉRFANAS</t>
  </si>
  <si>
    <t>ENFERMEDADES CRÓNICAS NO TRASMISIBLES CARDIOVASCULARES</t>
  </si>
  <si>
    <t>RESTRICCIÓN EN LA LIBRE ESCOGENCIA DE IPS PARA CIRUGÍA</t>
  </si>
  <si>
    <t>ENFERMEDADES HUÉRFANAS</t>
  </si>
  <si>
    <t>HIPERTENSIÓN</t>
  </si>
  <si>
    <t>NEGACIÓN DE LA AUTORIZACIÓN PARA TRASPORTE DE AMBULANCIA MEDICALIZADA</t>
  </si>
  <si>
    <t>NEGACIÓN PARA LA PROGRAMACIÓN Y/O REALIZACIÓN DE PROCEDIMIENTOS QUIRÚRGICOS</t>
  </si>
  <si>
    <t>NO RECONOCIMIENTO Y PAGO DE LAS PRESTACIONES ECONÓMICAS DERIVADAS DE INCAPACIDAD DE ACCIDENTE DE TRABAJO</t>
  </si>
  <si>
    <t>NEGACIÓN DE LA AUTORIZACIÓN DE HOSPITALIZACIONES</t>
  </si>
  <si>
    <t>ENFERMEDADES CRÓNICAS NO TRANSMISIBLES RENALES</t>
  </si>
  <si>
    <t>NEGACIÓN DE INSUMOS MÉDICOS HOSPITALARIOS POS</t>
  </si>
  <si>
    <t>DEMORA DE LA AUTORIZACIÓN DE SERVICIOS DE ALTO COSTO PARA: VIH</t>
  </si>
  <si>
    <t>NEGACIÓN DE LA AUTORIZACIÓN DE SERVICIOS DE URGENCIAS</t>
  </si>
  <si>
    <t>NEGACIÓN DE LA PRESTACIÓN DE LABORATORIO CLÍNICO Y ANATOMO-PATOLÓGICO</t>
  </si>
  <si>
    <t>NEGACIÓN DE LA AUTORIZACIÓN DE CONSULTA MÉDICA GENERAL</t>
  </si>
  <si>
    <t>NEGACIÓN DE LA AUTORIZACIÓN DE CIRUGÍA NO POS</t>
  </si>
  <si>
    <t>NEGACIÓN DE LA AUTORIZACIÓN DE PROCEDIMIENTOS POS</t>
  </si>
  <si>
    <t>INCUMPLIMIENTO DE ACCIONES DE SEGUIMIENTO Y ATENCIÓN DE LAS ENFERMEDADES DE INTERÉS EN SALUD PUBLICA</t>
  </si>
  <si>
    <t>NEGACIÓN DE LA AUTORIZACIÓN DE ELEMENTOS PARA TERAPIAS FÍSICAS, OCUPACIONALES, RESPIRATORIAS Y DEL LENGUAJE</t>
  </si>
  <si>
    <t>FALTA DE OPORTUNIDAD EN LA ASIGNACIÓN DE CITAS DE CONSULTA MÉDICA ESPECIALIZADA OBSTETRICIA</t>
  </si>
  <si>
    <t>MALA O DEFICIENTE INFORMACIÓN SOBRE LA RED DE PRESTADORES</t>
  </si>
  <si>
    <t>INCUMPLIMIENTO EN RECURSO FÍSICO, TECNOLÓGICO E INSUMOS PARA LA GESTIÓN DE LAS ACCIONES DE SALUD PUBLICA</t>
  </si>
  <si>
    <t>FALLA EN EL REPORTE DE LA ATENCIÓN INICIAL DE URGENCIAS A LA EAPB POR PARTE DEL PRESTADOR</t>
  </si>
  <si>
    <t>NEGACIÓN DE INSUMOS MÉDICOS PARA AYUDAS AUDITIVAS</t>
  </si>
  <si>
    <t>NEGACIÓN DE LA AUTORIZACIÓN DE SERVICIOS DE ALTO COSTO PARA:  CÁNCER</t>
  </si>
  <si>
    <t>NEGACIÓN DE LA CONSULTA MÉDICA ESPECIALIZADA DE GINECOLOGÍA</t>
  </si>
  <si>
    <t>INCREMENTO DE TARIFAS EN PLANES DE MEDICINA PREPAGADA Y/ O PLANES VOLUNTARIOS DE SALUD</t>
  </si>
  <si>
    <t>NEGACIÓN DE LA REFERENCIA O CONTRARREFERENCIA</t>
  </si>
  <si>
    <t>INCONFORMIDAD POR RESPUESTA DERECHO DE PETICIÓN</t>
  </si>
  <si>
    <t>NEGACIÓN PARA LA PRESTACIÓN DE SERVICIOS DE PROMOCIÓN Y PREVENCIÓN</t>
  </si>
  <si>
    <t>NEGACIÓN DE LA CONSULTA MÉDICA ESPECIALIZADA DE PEDIATRÍA</t>
  </si>
  <si>
    <t>EXIGENCIA DE FOTOCOPIAS O AUTENTICACIONES DE ALGÚN DOCUMENTO PARA LA PRESTACIÓN DE LOS SERVICIOS DE SALUD</t>
  </si>
  <si>
    <t>DEMORA DE LA AUTORIZACIÓN DE SERVICIOS DE ALTO COSTO PARA: ENFERMEDADES RARAS O HUÉRFANAS</t>
  </si>
  <si>
    <t>DEFICIENTE PERCEPCIÓN SOBRE LA INFRAESTRUCTURA FÍSICA DEL LUGAR CAMAS, SILLAS, CAMILLAS</t>
  </si>
  <si>
    <t>FALTA DE OPORTUNIDAD EN LA ASIGNACIÓN DE CITAS DE CONSULTA MÉDICA ESPECIALIZADA PARA ENFERMEDADES RARAS O HUÉRFANAS</t>
  </si>
  <si>
    <t>NEGACIÓN DE LA HOSPITALIZACIÓN</t>
  </si>
  <si>
    <t>NEGACIÓN DE LA AUTORIZACIÓN DE PROCEDIMIENTOS NO-POS</t>
  </si>
  <si>
    <t>NEGACIÓN DE AUTORIZACIÓN DE SERVICIOS MÉDICOS Y PRESTACIONES DE SALUD POR EXCLUSIONES EN PLANES DE MEDICINA PREPAGADA Y/ O PLANES VOLUNTARIOS DE SALUD</t>
  </si>
  <si>
    <t>FALTA DE OPORTUNIDAD EN LA RESPUESTA DEL COMITÉ TÉCNICO CIENTÍFICO PARA MEDICAMENTOS NO-POS</t>
  </si>
  <si>
    <t>ELUCIÓN Y/O EVASIÓN DE APORTES</t>
  </si>
  <si>
    <t>FALTA DE PERSONAL ASISTENCIAL</t>
  </si>
  <si>
    <t>FALTA DE OPORTUNIDAD EN LA AUTORIZACIÓN DE LA ATENCIÓN EN SALUD DERIVADA DE ACCIDENTE DE TRABAJO Y ENFERMEDAD PROFESIONAL</t>
  </si>
  <si>
    <t>MALA O DEFICIENTE INFORMACIÓN SOBRE PROGRAMAS DE PROMOCIÓN Y PREVENCIÓN</t>
  </si>
  <si>
    <t>MULTIAFILIACIÓN</t>
  </si>
  <si>
    <t>COMPLICACIONES DEL MANEJO MÉDICO QUIRÚRGICO</t>
  </si>
  <si>
    <t>INCUMPLIMIENTO EN ASISTENCIA TÉCNICA, SEGUIMIENTO Y EVALUACIÓN A IPS</t>
  </si>
  <si>
    <t>NEGACIÓN DE LA CONSULTA MÉDICA ESPECIALIZADA DE MEDICINA INTERNA DE CARDIOLOGÍA</t>
  </si>
  <si>
    <t>NEGACIÓN DE AUTORIZACIÓN DE SERVICIOS MÉDICOS Y PRESTACIONES DE SALUD POR PRE-EXISTENCIA EN PLANES DE MEDICINA PREPAGADA   Y/O PLANES VOLUNTARIOS DE SALUD</t>
  </si>
  <si>
    <t>FALLAS EN LA COMUNICACIÓN CON EL CENTRO DE REFERENCIA Y CONTRARREFERENCIA DE LA EAPB</t>
  </si>
  <si>
    <t>NEGACIÓN DE AFILIACIÓN POR ERRORES EN LA DOCUMENTACIÓN</t>
  </si>
  <si>
    <t>DISPOSITIVOS MÉDICOS O EQUIPOS BIOMÉDICOS DEFECTUOSOS O CON MAL FUNCIONAMIENTO</t>
  </si>
  <si>
    <t>NEGACIÓN DE LA CONSULTA MÉDICA ESPECIALIZADA DE MEDICINA INTERNA DE GASTROENTEROLOGÍA</t>
  </si>
  <si>
    <t>INFORMACIÓN SOBRE CONSULTAS MÉDICAS</t>
  </si>
  <si>
    <t>NEGACIÓN DE LA AUTORIZACIÓN DE CONSULTAS MÉDICAS SUB-ESPECIALIZADAS</t>
  </si>
  <si>
    <t>RESTRICCIÓN EN LA LIBRE ESCOGENCIA DE MÉDICO GENERAL</t>
  </si>
  <si>
    <t>DEFICIENTE PERCEPCIÓN SOBRE LA INFRAESTRUCTURA FÍSICA DEL LUGAR CONSULTORIOS</t>
  </si>
  <si>
    <t>SERVICIOS NO ADECUADOS A LAS NECESIDADES CULTURALES Y PARTICULARES DE LA POBLACIÓN</t>
  </si>
  <si>
    <t>FALTA DE OPORTUNIDAD EN LA AUTORIZACIÓN DE LA ATENCIÓN EN SALUD DERIVADA DE LOS ACCIDENTES DE TRÁNSITO Y EVENTOS CATASTRÓFICOS</t>
  </si>
  <si>
    <t>NEGACIÓN DE LA AUTORIZACIÓN DE ELEMENTOS DE AYUDAS AUDITIVAS</t>
  </si>
  <si>
    <t>NEGACIÓN DE LA REFERENCIA</t>
  </si>
  <si>
    <t>NEGACIÓN DE LOS FALLOS DE LAS JUNTAS CALIFICADORAS PARA INVALIDEZ-RIESGOS PROFESIONALES</t>
  </si>
  <si>
    <t>RESTRICCIÓN EN LA LIBRE ESCOGENCIA PARA INDÍGENAS EN EL RÉGIMEN SUBSIDIADO</t>
  </si>
  <si>
    <t>INVITACIÓN A PROGRAMAS DE PROMOCIÓN Y PREVENCIÓN</t>
  </si>
  <si>
    <t>ENFERMEDADES CRÓNICAS NO TRASMISIBLES-SISTEMA OSTEOARTICULAR (ARTRITIS)</t>
  </si>
  <si>
    <t>GESTIÓN EN LA CONTINUIDAD DEL ASEGURAMIENTO Y LA PRESTACIÓN DEL SERVICIO POR LA ENTIDAD TERRITORIAL</t>
  </si>
  <si>
    <t>INCUMPLIMIENTO EN LA GESTIÓN DEL CONTROL DE CALIDAD DE LA RED DE LABORATORIOS</t>
  </si>
  <si>
    <t>NEGACIÓN DE LA AUTORIZACIÓN DE SERVICIOS DE ALTO COSTO PARA: ENFERMEDAD RENAL</t>
  </si>
  <si>
    <t>ENFERMEDADES CRÓNICAS NO TRANSMISIBLES RESPIRATORIAS</t>
  </si>
  <si>
    <t>NEGACIÓN DE LA AUTORIZACIÓN DE LA ATENCIÓN EN SALUD DERIVADA DE ACCIDENTE DE TRABAJO Y ENFERMEDAD PROFESIONAL</t>
  </si>
  <si>
    <t>FIRMA DE PAGARE O ALGÚN OTRO DOCUMENTO COMO REQUISITOS PARA PRESTAR EL SERVICIO DE SALUD</t>
  </si>
  <si>
    <t>NEGACIÓN DE LA AUTORIZACIÓN DE SERVICIOS DE ALTO COSTO PARA: VIH</t>
  </si>
  <si>
    <t>DISCRIMINACIÓN</t>
  </si>
  <si>
    <t>NEGACIÓN PARA LA ENTREGA DE MEDICAMENTOS NO POS PARA ENFERMEDADES RARAS O HUÉRFANAS</t>
  </si>
  <si>
    <t>INCUMPLIMIENTO DE OTRAS NORMAS TÉCNICAS Y GUÍAS DE ATENCIÓN DE LAS INTERVENCIONES DE PROTECCIÓN ESPECÍFICA Y DETECCIÓN TEMPRANA</t>
  </si>
  <si>
    <t>NEGACIÓN POR PARTE DE LA EAPB AL PAGO DE LA ATENCIÓN INICIAL DE URGENCIAS AL PRESTADOR</t>
  </si>
  <si>
    <t>DEFICIENTE PERCEPCIÓN SOBRE LA INFRAESTRUCTURA FÍSICA DEL LUGAR SALAS DE CIRUGÍA</t>
  </si>
  <si>
    <t>IMPOSIBILIDAD PARA COMUNICARSE CON LA EAPB PARA LA SOLICITUD DE AUTORIZACIÓN DE SERVICIOS POSTERIORES O ADICIONALES A LA ATENCIÓN INICIAL DE URGENCIAS</t>
  </si>
  <si>
    <t>PLANTA FÍSICA, ESPACIOS, MUEBLES Y DOTACIÓN INAPROPIADA</t>
  </si>
  <si>
    <t>NEGACIÓN DE LA AUTORIZACIÓN DE LA ATENCIÓN EN SALUD DERIVADA DE LOS ACCIDENTES DE TRÁNSITO Y EVENTOS CATASTRÓFICOS</t>
  </si>
  <si>
    <t>PERSONAL MÉDICO O PARAMÉDICO NO IDÓNEO PARA EL ACOMPAÑAMIENTO Y TRASLADO DEL PACIENTE (REFERENCIA-CONTRARREFERENCIA)</t>
  </si>
  <si>
    <t>FALTA DE OPORTUNIDAD EN LA RESPUESTA DEL COMITÉ TÉCNICO CIENTÍFICO PARA PROCEDIMIENTOS NO-POS</t>
  </si>
  <si>
    <t>DEFICIENTE PERCEPCIÓN SOBRE EL ASEO</t>
  </si>
  <si>
    <t>NEGACIÓN DE LA CONTRARREFERENCIA</t>
  </si>
  <si>
    <t>INCUMPLIMIENTO EN EL ENVÍO DE LAS MATRICES DE PROGRAMACIÓN DEL RÉGIMEN SUBSIDIADO</t>
  </si>
  <si>
    <t>FALLAS EN LOS MEDIOS O MECANISMOS DE COMUNICACIÓN EMPLEADOS POR LA EAPB PARA EL REPORTE DE LA INFORMACIÓN POR PARTE DE LOS PRESTADORES</t>
  </si>
  <si>
    <t>INSUFICIENCIA DE RED PARA LA PRESTACIÓN DE LOS SERVICIOS DE SALUD DE LA POBLACIÓN POBRE EN LO NO CUBIERTO POR LOS SUBSIDIOS A LA DEMANDA</t>
  </si>
  <si>
    <t>INSUFICIENCIA DE RED PRESTADORA PARA LA REALIZACIÓN DE LAS ACCIONES DE DETECCIÓN TEMPRANA Y PROTECCIÓN ESPECÍFICA EN EL MUNICIPIO</t>
  </si>
  <si>
    <t>FALTA DE OPORTUNIDAD EN LA RESPUESTA DEL COMITÉ TÉCNICO CIENTÍFICO PARA MEDICAMENTOS NO-POS DE ENFERMEDADES RARAS O HUÉRFANAS</t>
  </si>
  <si>
    <t>NEGACIÓN EN LA RESPUESTA DEL COMITÉ TÉCNICO CIENTÍFICO PARA MEDICAMENTOS NO-POS</t>
  </si>
  <si>
    <t>NEGACIÓN DE AFILIACIÓN POR DUPLICIDAD DEL AFILIADO</t>
  </si>
  <si>
    <t>FALLAS RELACIONADAS A LA CARNETIZACIÓN</t>
  </si>
  <si>
    <t>INSUFICIENCIA DE RED PARA LA PRESTACIÓN DE LOS SERVICIOS DE SALUD NO-POS DEL RÉGIMEN SUBSIDIADO</t>
  </si>
  <si>
    <t>NEGACIÓN DE LA AUTORIZACIÓN DE MEDICAMENTOS NO-POS PARA ENFERMEDADES RARAS O HUÉRFANAS</t>
  </si>
  <si>
    <t>NEGACIÓN DE LA AUTORIZACIÓN DE SERVICIOS DE ALTO COSTO PARA: ENFERMEDADES HUÉRFANAS</t>
  </si>
  <si>
    <t>INCUMPLIMIENTO DE COMPETENCIAS EN SALUD PÚBLICA (LABORATORIO DE SALUD PÚBLICA)</t>
  </si>
  <si>
    <t>INCUMPLIMIENTO EN EL PROCESO DE PLANEACIÓN DE LAS ACCIONES DE SALUD PÚBLICA (DIAGNOSTICO, ELABORACIÓN Y APROBACIÓN DEL PLAN)</t>
  </si>
  <si>
    <t>NO REALIZACIÓN DEL TRIAGE AL USUARIO POR PARTE DEL PRESTADOR</t>
  </si>
  <si>
    <t>ENFERMEDAD CRÓNICA TRANSMISIBLE</t>
  </si>
  <si>
    <t>NEGACIÓN DE LA CONSULTA MÉDICA ESPECIALIZADA DE OBSTETRICIA</t>
  </si>
  <si>
    <t>NEGACIÓN DE LA AUTORIZACIÓN DE PROCEDIMIENTOS NO-POS PARA ENFERMEDADES RARAS O HUÉRFANAS</t>
  </si>
  <si>
    <t>NO RECONOCIMIENTO DE LAS PRESTACIONES ECONÓMICAS DERIVADAS POR LICENCIA DE ADOPCIÓN</t>
  </si>
  <si>
    <t>NEGACIÓN EN LA RESPUESTA DEL COMITÉ TÉCNICO CIENTÍFICO PARA PROCEDIMIENTOS NO-POS</t>
  </si>
  <si>
    <t>FALTA DE EVALUACIÓN POR PARTE DE LAS EPS DEL IMPACTO DE LAS ACCIONES DE DEMANDA INDUCIDA</t>
  </si>
  <si>
    <t>INCUMPLIMIENTO DE ACCIONES DE SEGUIMIENTO Y ATENCIÓN DE LAS ENFERMEDADES DE INTERÉS EN SALUD PÚBLICA-VIH</t>
  </si>
  <si>
    <t>INCUMPLIMIENTO EN DEFINICIÓN DE PROCESOS Y PROCEDIMIENTOS DE GESTIÓN, OPERACIÓN Y CONTROL DE LAS ACCIONES DE SALUD PUBLICA</t>
  </si>
  <si>
    <t>NEGACIÓN DE LA CONSULTA MÉDICA ESPECIALIZADA PARA ENFERMEDADES RARAS O HUÉRFANAS</t>
  </si>
  <si>
    <t>INCUMPLIMIENTO EN LAS ACCIONES DIRIGIDAS A LAS ENFERMEDADES CRÓNICAS TRANSMISIBLES (TUBERCULOSIS Y LEPRA)</t>
  </si>
  <si>
    <t>INCUMPLIMIENTO DE LA DECISIÓN DEL COMITÉ TÉCNICO CIENTÍFICO</t>
  </si>
  <si>
    <t>NEGACIÓN AFILIACIÓN (PARA ENFERMEDADES RARAS O HUÉRFANAS)</t>
  </si>
  <si>
    <t>INCUMPLIMIENTO EN ASISTENCIA TÉCNICA, SEGUIMIENTO Y EVALUACIÓN A MUNICIPIOS</t>
  </si>
  <si>
    <t>FALTA DE OPORTUNIDAD EN LA RESPUESTA DEL COMITÉ TÉCNICO CIENTÍFICO PARA PROCEDIMIENTOS NO-POS DE ENFERMEDADES RARAS O HUÉRFANAS</t>
  </si>
  <si>
    <t>INCUMPLIMIENTO EN LA GESTIÓN DE LAS ACCIONES DE SALUD PUBLICA</t>
  </si>
  <si>
    <t>GESTIÓN DEL ASEGURAMIENTO POR PARTE DE LA ENTIDAD TERRITORIAL EN EVENTOS NO POS</t>
  </si>
  <si>
    <t>INCUMPLIMIENTO DE LA DECISIÓN DEL COMITÉ TÉCNICO CIENTÍFICO PARA ENFERMEDADES RARAS O HUÉRFANAS</t>
  </si>
  <si>
    <t>ENFERMEDAD TRANSMITIDA POR VECTORES (ENFERMEDADES TROPICALES)</t>
  </si>
  <si>
    <t>100204</t>
  </si>
  <si>
    <t>020106</t>
  </si>
  <si>
    <t>AFILIADOS DICIEMBRE 2.021</t>
  </si>
  <si>
    <t>COLSANITAS S.A. COMPAÑIA DE MEDICINA PREPAGADA</t>
  </si>
  <si>
    <t>2.021 (ENERO-DICIEMBRE)</t>
  </si>
  <si>
    <t>FUENTE: BASE DE DATOS SNS AÑO 2.021 (ENERO-DICIEMBRE)</t>
  </si>
  <si>
    <t>PROMEDIO = 25,84</t>
  </si>
  <si>
    <t>PROMEDIO = 10,11</t>
  </si>
  <si>
    <t>PROMEDIO = 19,69</t>
  </si>
  <si>
    <t>PROMEDIO = 15,01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</si>
</sst>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0.0%"/>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color indexed="8"/>
      <name val="Arial"/>
      <family val="2"/>
    </font>
    <font>
      <b/>
      <sz val="10"/>
      <name val="Arial"/>
      <family val="2"/>
    </font>
    <font>
      <b/>
      <sz val="10"/>
      <color indexed="8"/>
      <name val="Arial"/>
      <family val="2"/>
    </font>
    <font>
      <sz val="8"/>
      <color indexed="8"/>
      <name val="Arial"/>
      <family val="2"/>
    </font>
    <font>
      <sz val="10"/>
      <color rgb="FFFF0000"/>
      <name val="Arial"/>
      <family val="2"/>
    </font>
    <font>
      <sz val="11"/>
      <color indexed="8"/>
      <name val="Wingdings"/>
      <family val="2"/>
      <charset val="2"/>
    </font>
    <font>
      <sz val="9"/>
      <name val="Arial"/>
      <family val="2"/>
    </font>
    <font>
      <sz val="11"/>
      <name val="Calibri"/>
      <family val="2"/>
      <scheme val="minor"/>
    </font>
    <font>
      <sz val="11"/>
      <color indexed="8"/>
      <name val="Calibri"/>
      <family val="2"/>
      <scheme val="minor"/>
    </font>
    <font>
      <b/>
      <sz val="11"/>
      <name val="Calibri"/>
      <family val="2"/>
      <scheme val="minor"/>
    </font>
    <font>
      <b/>
      <sz val="11"/>
      <color indexed="8"/>
      <name val="Calibri"/>
      <family val="2"/>
      <scheme val="minor"/>
    </font>
    <font>
      <b/>
      <sz val="11"/>
      <color indexed="8"/>
      <name val="Arial"/>
      <family val="2"/>
    </font>
    <font>
      <sz val="8"/>
      <color rgb="FF000000"/>
      <name val="Arial"/>
      <family val="2"/>
    </font>
    <font>
      <b/>
      <sz val="8"/>
      <color rgb="FF000000"/>
      <name val="Arial"/>
      <family val="2"/>
    </font>
    <font>
      <sz val="8"/>
      <name val="Calibri"/>
      <family val="2"/>
      <scheme val="minor"/>
    </font>
    <font>
      <sz val="7"/>
      <color theme="1"/>
      <name val="Calibri"/>
      <family val="2"/>
      <scheme val="minor"/>
    </font>
    <font>
      <sz val="7"/>
      <name val="Arial"/>
      <family val="2"/>
    </font>
  </fonts>
  <fills count="8">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59999389629810485"/>
        <bgColor theme="4" tint="0.79998168889431442"/>
      </patternFill>
    </fill>
    <fill>
      <patternFill patternType="solid">
        <fgColor theme="5" tint="0.79998168889431442"/>
        <bgColor indexed="64"/>
      </patternFill>
    </fill>
    <fill>
      <patternFill patternType="solid">
        <fgColor theme="8"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top style="dotted">
        <color theme="4" tint="0.59996337778862885"/>
      </top>
      <bottom style="thin">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theme="4" tint="0.39997558519241921"/>
      </bottom>
      <diagonal/>
    </border>
    <border>
      <left/>
      <right style="medium">
        <color indexed="64"/>
      </right>
      <top style="medium">
        <color indexed="64"/>
      </top>
      <bottom/>
      <diagonal/>
    </border>
    <border>
      <left/>
      <right/>
      <top style="medium">
        <color indexed="64"/>
      </top>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172">
    <xf numFmtId="0" fontId="0" fillId="0" borderId="0" xfId="0"/>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pplyAlignment="1">
      <alignment vertical="top"/>
    </xf>
    <xf numFmtId="0" fontId="0" fillId="0" borderId="0" xfId="0" applyAlignment="1">
      <alignment horizontal="center" vertical="top"/>
    </xf>
    <xf numFmtId="0" fontId="3" fillId="0" borderId="0" xfId="0" applyFont="1" applyAlignment="1">
      <alignment horizontal="center" vertical="top"/>
    </xf>
    <xf numFmtId="0" fontId="0" fillId="0" borderId="0" xfId="0" applyAlignment="1">
      <alignment vertical="top"/>
    </xf>
    <xf numFmtId="0" fontId="3" fillId="0" borderId="0" xfId="0" applyFont="1" applyAlignment="1">
      <alignment vertical="center"/>
    </xf>
    <xf numFmtId="0" fontId="7" fillId="0" borderId="0" xfId="0" applyFont="1" applyAlignment="1">
      <alignment horizontal="center" vertical="center"/>
    </xf>
    <xf numFmtId="3" fontId="0" fillId="0" borderId="0" xfId="0" applyNumberFormat="1" applyAlignment="1">
      <alignment horizontal="center" vertical="center"/>
    </xf>
    <xf numFmtId="0" fontId="0" fillId="0" borderId="1" xfId="0" applyBorder="1" applyAlignment="1">
      <alignment vertical="center"/>
    </xf>
    <xf numFmtId="41" fontId="0" fillId="0" borderId="1" xfId="1" applyFont="1" applyBorder="1" applyAlignment="1">
      <alignment vertical="center"/>
    </xf>
    <xf numFmtId="0" fontId="8" fillId="0" borderId="0" xfId="0" applyFont="1" applyAlignment="1">
      <alignment vertical="center"/>
    </xf>
    <xf numFmtId="3" fontId="8" fillId="0" borderId="0" xfId="0" applyNumberFormat="1" applyFont="1" applyAlignment="1">
      <alignment horizontal="center" vertical="center"/>
    </xf>
    <xf numFmtId="0" fontId="3" fillId="0" borderId="0" xfId="0" applyFont="1" applyAlignment="1">
      <alignment vertical="top"/>
    </xf>
    <xf numFmtId="3" fontId="3" fillId="0" borderId="0" xfId="0" applyNumberFormat="1" applyFont="1" applyAlignment="1">
      <alignment horizontal="center" vertical="center"/>
    </xf>
    <xf numFmtId="0" fontId="5" fillId="4" borderId="6" xfId="0" applyFont="1" applyFill="1" applyBorder="1" applyAlignment="1">
      <alignment horizontal="center" vertical="center" wrapText="1"/>
    </xf>
    <xf numFmtId="3" fontId="5" fillId="4" borderId="6" xfId="0" applyNumberFormat="1" applyFont="1" applyFill="1" applyBorder="1" applyAlignment="1">
      <alignment horizontal="center" vertical="center"/>
    </xf>
    <xf numFmtId="0" fontId="5" fillId="4" borderId="9" xfId="0" applyFont="1" applyFill="1" applyBorder="1" applyAlignment="1">
      <alignment vertical="center" wrapText="1"/>
    </xf>
    <xf numFmtId="3" fontId="5" fillId="4" borderId="9" xfId="0" applyNumberFormat="1" applyFont="1" applyFill="1" applyBorder="1" applyAlignment="1">
      <alignment horizontal="center" vertical="center"/>
    </xf>
    <xf numFmtId="0" fontId="3" fillId="4" borderId="9" xfId="0" applyFont="1" applyFill="1" applyBorder="1"/>
    <xf numFmtId="0" fontId="3" fillId="4" borderId="9" xfId="0" applyFont="1" applyFill="1" applyBorder="1" applyAlignment="1">
      <alignment horizontal="center"/>
    </xf>
    <xf numFmtId="0" fontId="3" fillId="4" borderId="9" xfId="0" applyFont="1" applyFill="1" applyBorder="1" applyAlignment="1">
      <alignment vertical="center"/>
    </xf>
    <xf numFmtId="0" fontId="3" fillId="4" borderId="9" xfId="0" applyFont="1" applyFill="1" applyBorder="1" applyAlignment="1">
      <alignment horizontal="center" vertical="center"/>
    </xf>
    <xf numFmtId="0" fontId="3" fillId="4" borderId="0" xfId="0" applyFont="1" applyFill="1" applyAlignment="1">
      <alignment vertical="center"/>
    </xf>
    <xf numFmtId="0" fontId="3" fillId="4" borderId="0" xfId="0" applyFont="1" applyFill="1" applyAlignment="1">
      <alignment horizontal="center" vertical="center"/>
    </xf>
    <xf numFmtId="0" fontId="0" fillId="0" borderId="0" xfId="0" applyAlignment="1">
      <alignment horizontal="left" vertical="center" indent="1"/>
    </xf>
    <xf numFmtId="0" fontId="0" fillId="3" borderId="12" xfId="0" applyFill="1" applyBorder="1" applyAlignment="1">
      <alignment vertical="center"/>
    </xf>
    <xf numFmtId="0" fontId="0" fillId="3" borderId="7" xfId="0" applyFill="1" applyBorder="1" applyAlignment="1">
      <alignment vertical="center"/>
    </xf>
    <xf numFmtId="0" fontId="9" fillId="0" borderId="0" xfId="0" applyFont="1" applyAlignment="1">
      <alignment horizontal="left" vertical="center" indent="4"/>
    </xf>
    <xf numFmtId="0" fontId="0" fillId="0" borderId="0" xfId="0" applyAlignment="1">
      <alignment horizontal="left" vertical="top" indent="1"/>
    </xf>
    <xf numFmtId="0" fontId="4" fillId="0" borderId="0" xfId="0" applyFont="1" applyAlignment="1">
      <alignment horizontal="left" vertical="center" indent="1"/>
    </xf>
    <xf numFmtId="0" fontId="0" fillId="3" borderId="0" xfId="0" applyFill="1" applyAlignment="1">
      <alignment vertical="center"/>
    </xf>
    <xf numFmtId="0" fontId="10" fillId="0" borderId="0" xfId="0" applyFont="1" applyAlignment="1">
      <alignment vertical="center"/>
    </xf>
    <xf numFmtId="0" fontId="8" fillId="0" borderId="0" xfId="0" applyFont="1" applyAlignment="1">
      <alignment horizontal="center" vertical="center"/>
    </xf>
    <xf numFmtId="0" fontId="10" fillId="0" borderId="1" xfId="0" applyFont="1" applyBorder="1" applyAlignment="1">
      <alignment vertical="center"/>
    </xf>
    <xf numFmtId="0" fontId="0" fillId="3" borderId="1" xfId="0" applyFill="1" applyBorder="1" applyAlignment="1">
      <alignment vertical="center"/>
    </xf>
    <xf numFmtId="0" fontId="0" fillId="3" borderId="0" xfId="0" applyFill="1" applyAlignment="1">
      <alignment horizontal="left" vertical="center" indent="1"/>
    </xf>
    <xf numFmtId="0" fontId="3" fillId="0" borderId="0" xfId="0" applyFont="1" applyAlignment="1">
      <alignment horizontal="left" vertical="center" indent="1"/>
    </xf>
    <xf numFmtId="0" fontId="2" fillId="0" borderId="13" xfId="0" applyFont="1" applyBorder="1"/>
    <xf numFmtId="0" fontId="10" fillId="2" borderId="1" xfId="0" applyFont="1" applyFill="1" applyBorder="1" applyAlignment="1">
      <alignment vertical="center"/>
    </xf>
    <xf numFmtId="0" fontId="11" fillId="4" borderId="9" xfId="0" applyFont="1" applyFill="1" applyBorder="1"/>
    <xf numFmtId="0" fontId="5" fillId="4" borderId="1" xfId="0" applyFont="1" applyFill="1" applyBorder="1" applyAlignment="1">
      <alignment horizontal="center" vertical="center" wrapText="1"/>
    </xf>
    <xf numFmtId="0" fontId="0" fillId="0" borderId="1" xfId="0" applyFont="1" applyBorder="1" applyAlignment="1">
      <alignment vertical="center" wrapText="1"/>
    </xf>
    <xf numFmtId="3" fontId="0" fillId="0" borderId="1" xfId="0" applyNumberFormat="1" applyFont="1" applyBorder="1" applyAlignment="1">
      <alignment horizontal="center" vertical="center"/>
    </xf>
    <xf numFmtId="3" fontId="0" fillId="6" borderId="1" xfId="0" applyNumberFormat="1" applyFont="1" applyFill="1" applyBorder="1" applyAlignment="1">
      <alignment horizontal="center" vertical="center"/>
    </xf>
    <xf numFmtId="0" fontId="13" fillId="4"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13" fillId="5" borderId="1" xfId="0" applyFont="1" applyFill="1" applyBorder="1" applyAlignment="1">
      <alignment horizontal="center" vertical="center" wrapText="1"/>
    </xf>
    <xf numFmtId="3" fontId="14" fillId="0" borderId="1" xfId="0" applyNumberFormat="1" applyFont="1" applyBorder="1" applyAlignment="1">
      <alignment horizontal="center" vertical="center"/>
    </xf>
    <xf numFmtId="3" fontId="11" fillId="0" borderId="1" xfId="0" applyNumberFormat="1" applyFont="1" applyBorder="1" applyAlignment="1">
      <alignment horizontal="center" vertical="center"/>
    </xf>
    <xf numFmtId="0" fontId="0" fillId="0" borderId="1" xfId="0" applyFont="1" applyBorder="1" applyAlignment="1">
      <alignment vertical="center"/>
    </xf>
    <xf numFmtId="3" fontId="13" fillId="5" borderId="1" xfId="0" applyNumberFormat="1" applyFont="1" applyFill="1" applyBorder="1" applyAlignment="1">
      <alignment horizontal="center" vertical="center" wrapText="1"/>
    </xf>
    <xf numFmtId="164" fontId="11" fillId="0" borderId="1" xfId="2" applyNumberFormat="1" applyFont="1" applyBorder="1" applyAlignment="1">
      <alignment horizontal="center" vertical="center"/>
    </xf>
    <xf numFmtId="9" fontId="13" fillId="0" borderId="1" xfId="2" applyFont="1" applyBorder="1" applyAlignment="1">
      <alignment horizontal="center" vertical="center" wrapText="1"/>
    </xf>
    <xf numFmtId="0" fontId="13" fillId="4" borderId="6" xfId="0" applyFont="1" applyFill="1" applyBorder="1" applyAlignment="1">
      <alignment horizontal="center" vertical="center" wrapText="1"/>
    </xf>
    <xf numFmtId="3" fontId="13" fillId="5" borderId="6" xfId="0" applyNumberFormat="1" applyFont="1" applyFill="1" applyBorder="1" applyAlignment="1">
      <alignment horizontal="center" vertical="center" wrapText="1"/>
    </xf>
    <xf numFmtId="4" fontId="11" fillId="0" borderId="5" xfId="0" applyNumberFormat="1" applyFont="1" applyBorder="1" applyAlignment="1">
      <alignment horizontal="center" vertical="center"/>
    </xf>
    <xf numFmtId="3" fontId="11" fillId="2" borderId="1" xfId="0" applyNumberFormat="1" applyFont="1" applyFill="1" applyBorder="1" applyAlignment="1">
      <alignment horizontal="center" vertical="center"/>
    </xf>
    <xf numFmtId="4" fontId="11" fillId="0" borderId="1" xfId="0" applyNumberFormat="1" applyFont="1" applyBorder="1" applyAlignment="1">
      <alignment horizontal="center" vertical="center"/>
    </xf>
    <xf numFmtId="3" fontId="13" fillId="2" borderId="1" xfId="0" applyNumberFormat="1" applyFont="1" applyFill="1" applyBorder="1" applyAlignment="1">
      <alignment horizontal="center" vertical="center"/>
    </xf>
    <xf numFmtId="3" fontId="0" fillId="6" borderId="6" xfId="0" applyNumberFormat="1" applyFont="1" applyFill="1" applyBorder="1" applyAlignment="1">
      <alignment horizontal="center" vertical="center"/>
    </xf>
    <xf numFmtId="3" fontId="0" fillId="6" borderId="14" xfId="0" applyNumberFormat="1" applyFont="1" applyFill="1" applyBorder="1" applyAlignment="1">
      <alignment horizontal="center" vertical="center"/>
    </xf>
    <xf numFmtId="0" fontId="13" fillId="5" borderId="5" xfId="0" applyFont="1" applyFill="1" applyBorder="1" applyAlignment="1">
      <alignment horizontal="center" vertical="center"/>
    </xf>
    <xf numFmtId="0" fontId="13" fillId="5" borderId="6" xfId="0" applyFont="1" applyFill="1" applyBorder="1" applyAlignment="1">
      <alignment horizontal="center" vertical="center"/>
    </xf>
    <xf numFmtId="164" fontId="11" fillId="3" borderId="1" xfId="2" applyNumberFormat="1" applyFont="1" applyFill="1" applyBorder="1" applyAlignment="1">
      <alignment horizontal="center" vertical="center"/>
    </xf>
    <xf numFmtId="10" fontId="11" fillId="3" borderId="1" xfId="2" applyNumberFormat="1" applyFont="1" applyFill="1" applyBorder="1" applyAlignment="1">
      <alignment horizontal="center" vertical="center"/>
    </xf>
    <xf numFmtId="17" fontId="13" fillId="5" borderId="1" xfId="0" applyNumberFormat="1" applyFont="1" applyFill="1" applyBorder="1" applyAlignment="1">
      <alignment horizontal="center" vertical="center" wrapText="1"/>
    </xf>
    <xf numFmtId="3" fontId="0" fillId="0" borderId="0" xfId="0" applyNumberFormat="1"/>
    <xf numFmtId="0" fontId="7" fillId="0" borderId="0" xfId="0" applyFont="1" applyAlignment="1">
      <alignment vertical="center" wrapText="1"/>
    </xf>
    <xf numFmtId="0" fontId="16" fillId="0" borderId="0" xfId="0" applyFont="1" applyAlignment="1">
      <alignment vertical="center"/>
    </xf>
    <xf numFmtId="0" fontId="17" fillId="0" borderId="0" xfId="0" applyFont="1" applyAlignment="1">
      <alignment vertical="center"/>
    </xf>
    <xf numFmtId="0" fontId="0" fillId="0" borderId="8" xfId="0" applyFont="1" applyBorder="1" applyAlignment="1">
      <alignment vertical="center"/>
    </xf>
    <xf numFmtId="41" fontId="0" fillId="0" borderId="8" xfId="1" applyFont="1" applyBorder="1" applyAlignment="1">
      <alignment vertical="center"/>
    </xf>
    <xf numFmtId="4" fontId="11" fillId="0" borderId="7" xfId="0" applyNumberFormat="1" applyFont="1" applyBorder="1" applyAlignment="1">
      <alignment horizontal="center" vertical="center"/>
    </xf>
    <xf numFmtId="0" fontId="7" fillId="0" borderId="0" xfId="0" applyFont="1" applyAlignment="1">
      <alignment horizontal="center" vertical="center"/>
    </xf>
    <xf numFmtId="3" fontId="0" fillId="0" borderId="1" xfId="0" applyNumberFormat="1" applyFont="1" applyFill="1" applyBorder="1" applyAlignment="1">
      <alignment horizontal="center" vertical="center"/>
    </xf>
    <xf numFmtId="3" fontId="11" fillId="0" borderId="1" xfId="0" applyNumberFormat="1" applyFont="1" applyFill="1" applyBorder="1" applyAlignment="1">
      <alignment horizontal="center" vertical="center"/>
    </xf>
    <xf numFmtId="41" fontId="0" fillId="0" borderId="1" xfId="1" applyFont="1" applyFill="1" applyBorder="1" applyAlignment="1">
      <alignment vertical="center"/>
    </xf>
    <xf numFmtId="3" fontId="0" fillId="0" borderId="6" xfId="0" applyNumberFormat="1" applyFont="1" applyFill="1" applyBorder="1" applyAlignment="1">
      <alignment horizontal="center" vertical="center"/>
    </xf>
    <xf numFmtId="3" fontId="11" fillId="3" borderId="1" xfId="0" applyNumberFormat="1" applyFont="1" applyFill="1" applyBorder="1" applyAlignment="1">
      <alignment horizontal="center" vertical="center"/>
    </xf>
    <xf numFmtId="0" fontId="0" fillId="3" borderId="1" xfId="0" applyFont="1" applyFill="1" applyBorder="1"/>
    <xf numFmtId="3" fontId="0" fillId="3" borderId="14" xfId="0" applyNumberFormat="1" applyFont="1" applyFill="1" applyBorder="1" applyAlignment="1">
      <alignment horizontal="center" vertical="center"/>
    </xf>
    <xf numFmtId="3" fontId="0" fillId="3" borderId="6"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0" borderId="1" xfId="0" applyFont="1" applyFill="1" applyBorder="1"/>
    <xf numFmtId="3" fontId="0" fillId="3" borderId="0" xfId="0" applyNumberFormat="1" applyFill="1" applyAlignment="1">
      <alignment vertical="center"/>
    </xf>
    <xf numFmtId="3" fontId="0" fillId="0" borderId="1" xfId="0" applyNumberFormat="1" applyBorder="1" applyAlignment="1">
      <alignment horizontal="center" vertical="center"/>
    </xf>
    <xf numFmtId="3" fontId="0" fillId="0" borderId="1" xfId="0" applyNumberFormat="1" applyBorder="1" applyAlignment="1">
      <alignment horizontal="center"/>
    </xf>
    <xf numFmtId="41" fontId="0" fillId="2" borderId="1" xfId="1" applyFont="1" applyFill="1" applyBorder="1" applyAlignment="1">
      <alignment vertical="center"/>
    </xf>
    <xf numFmtId="3" fontId="11" fillId="2" borderId="5" xfId="0" applyNumberFormat="1" applyFont="1" applyFill="1" applyBorder="1" applyAlignment="1">
      <alignment horizontal="center" vertical="center"/>
    </xf>
    <xf numFmtId="3" fontId="0" fillId="2" borderId="1" xfId="0" applyNumberFormat="1" applyFont="1" applyFill="1" applyBorder="1" applyAlignment="1">
      <alignment horizontal="center" vertical="center"/>
    </xf>
    <xf numFmtId="3" fontId="0" fillId="2" borderId="8" xfId="0" applyNumberFormat="1" applyFont="1" applyFill="1" applyBorder="1" applyAlignment="1">
      <alignment horizontal="center" vertical="center"/>
    </xf>
    <xf numFmtId="3" fontId="14" fillId="4" borderId="1" xfId="0" applyNumberFormat="1" applyFont="1" applyFill="1" applyBorder="1" applyAlignment="1">
      <alignment horizontal="center" vertical="center"/>
    </xf>
    <xf numFmtId="9" fontId="13" fillId="4" borderId="1" xfId="2" applyFont="1" applyFill="1" applyBorder="1" applyAlignment="1">
      <alignment horizontal="center" vertical="center" wrapText="1"/>
    </xf>
    <xf numFmtId="4" fontId="11" fillId="0" borderId="1" xfId="0" applyNumberFormat="1" applyFont="1" applyFill="1" applyBorder="1" applyAlignment="1">
      <alignment horizontal="center" vertical="center"/>
    </xf>
    <xf numFmtId="3" fontId="6" fillId="4" borderId="1" xfId="0" applyNumberFormat="1" applyFont="1" applyFill="1" applyBorder="1" applyAlignment="1">
      <alignment horizontal="center" vertical="center"/>
    </xf>
    <xf numFmtId="9" fontId="5" fillId="4" borderId="1" xfId="2" applyFont="1" applyFill="1" applyBorder="1" applyAlignment="1">
      <alignment horizontal="center" vertical="center" wrapText="1"/>
    </xf>
    <xf numFmtId="3" fontId="6" fillId="4" borderId="5" xfId="0" applyNumberFormat="1" applyFont="1" applyFill="1" applyBorder="1" applyAlignment="1">
      <alignment horizontal="center" vertical="center"/>
    </xf>
    <xf numFmtId="3" fontId="2" fillId="4" borderId="14" xfId="0" applyNumberFormat="1" applyFont="1" applyFill="1" applyBorder="1" applyAlignment="1">
      <alignment horizontal="center" vertical="center"/>
    </xf>
    <xf numFmtId="3" fontId="2" fillId="4" borderId="6" xfId="0" applyNumberFormat="1" applyFont="1" applyFill="1" applyBorder="1" applyAlignment="1">
      <alignment horizontal="center" vertical="center"/>
    </xf>
    <xf numFmtId="3" fontId="2" fillId="4" borderId="1" xfId="0" applyNumberFormat="1" applyFont="1" applyFill="1" applyBorder="1" applyAlignment="1">
      <alignment horizontal="center" vertical="center"/>
    </xf>
    <xf numFmtId="164" fontId="13" fillId="4" borderId="1" xfId="2" applyNumberFormat="1" applyFont="1" applyFill="1" applyBorder="1" applyAlignment="1">
      <alignment horizontal="center" vertical="center"/>
    </xf>
    <xf numFmtId="3" fontId="14" fillId="4" borderId="3" xfId="0" applyNumberFormat="1" applyFont="1" applyFill="1" applyBorder="1" applyAlignment="1">
      <alignment horizontal="center" vertical="center"/>
    </xf>
    <xf numFmtId="3" fontId="13" fillId="4" borderId="3" xfId="0" applyNumberFormat="1" applyFont="1" applyFill="1" applyBorder="1" applyAlignment="1">
      <alignment horizontal="center" vertical="center"/>
    </xf>
    <xf numFmtId="0" fontId="0" fillId="2" borderId="1" xfId="0" applyFont="1" applyFill="1" applyBorder="1" applyAlignment="1">
      <alignment vertical="center" wrapText="1"/>
    </xf>
    <xf numFmtId="3" fontId="11" fillId="2" borderId="3" xfId="0" applyNumberFormat="1" applyFont="1" applyFill="1" applyBorder="1" applyAlignment="1">
      <alignment horizontal="center" vertical="center"/>
    </xf>
    <xf numFmtId="4" fontId="11" fillId="2" borderId="1" xfId="0" applyNumberFormat="1" applyFont="1" applyFill="1" applyBorder="1" applyAlignment="1">
      <alignment horizontal="center" vertical="center"/>
    </xf>
    <xf numFmtId="0" fontId="0" fillId="2" borderId="8" xfId="0" applyFont="1" applyFill="1" applyBorder="1" applyAlignment="1">
      <alignment vertical="center" wrapText="1"/>
    </xf>
    <xf numFmtId="3" fontId="11" fillId="2" borderId="8" xfId="0" applyNumberFormat="1" applyFont="1" applyFill="1" applyBorder="1" applyAlignment="1">
      <alignment horizontal="center" vertical="center"/>
    </xf>
    <xf numFmtId="3" fontId="11" fillId="2" borderId="12" xfId="0" applyNumberFormat="1" applyFont="1" applyFill="1" applyBorder="1" applyAlignment="1">
      <alignment horizontal="center" vertical="center"/>
    </xf>
    <xf numFmtId="4" fontId="11" fillId="2" borderId="8" xfId="0" applyNumberFormat="1" applyFont="1" applyFill="1" applyBorder="1" applyAlignment="1">
      <alignment horizontal="center" vertical="center"/>
    </xf>
    <xf numFmtId="3" fontId="0" fillId="2" borderId="3" xfId="0" applyNumberFormat="1" applyFont="1" applyFill="1" applyBorder="1" applyAlignment="1">
      <alignment horizontal="center" vertical="center"/>
    </xf>
    <xf numFmtId="0" fontId="11" fillId="2" borderId="1" xfId="0" applyFont="1" applyFill="1" applyBorder="1" applyAlignment="1">
      <alignment vertical="center" wrapText="1"/>
    </xf>
    <xf numFmtId="4" fontId="0" fillId="2" borderId="1" xfId="0" applyNumberFormat="1" applyFont="1" applyFill="1" applyBorder="1" applyAlignment="1">
      <alignment horizontal="center" vertical="center"/>
    </xf>
    <xf numFmtId="0" fontId="11" fillId="2" borderId="8" xfId="0" applyFont="1" applyFill="1" applyBorder="1" applyAlignment="1">
      <alignment vertical="center" wrapText="1"/>
    </xf>
    <xf numFmtId="4" fontId="0" fillId="2" borderId="8" xfId="0" applyNumberFormat="1" applyFont="1" applyFill="1" applyBorder="1" applyAlignment="1">
      <alignment horizontal="center" vertical="center"/>
    </xf>
    <xf numFmtId="3" fontId="0" fillId="2" borderId="1" xfId="0" applyNumberFormat="1" applyFill="1" applyBorder="1" applyAlignment="1">
      <alignment horizontal="center" vertical="center"/>
    </xf>
    <xf numFmtId="0" fontId="11" fillId="0" borderId="1" xfId="0" applyFont="1" applyFill="1" applyBorder="1" applyAlignment="1">
      <alignment horizontal="center" vertical="center"/>
    </xf>
    <xf numFmtId="0" fontId="11" fillId="3" borderId="1" xfId="0" applyFont="1" applyFill="1" applyBorder="1" applyAlignment="1">
      <alignment horizontal="left" vertical="center" wrapText="1"/>
    </xf>
    <xf numFmtId="0" fontId="11" fillId="3" borderId="1" xfId="0" applyFont="1" applyFill="1" applyBorder="1" applyAlignment="1">
      <alignment horizontal="center" vertical="center"/>
    </xf>
    <xf numFmtId="10" fontId="14" fillId="4" borderId="1" xfId="2" applyNumberFormat="1" applyFont="1" applyFill="1" applyBorder="1" applyAlignment="1">
      <alignment horizontal="center" vertical="center"/>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xf>
    <xf numFmtId="0" fontId="0" fillId="2" borderId="1" xfId="0" applyFont="1" applyFill="1" applyBorder="1" applyAlignment="1">
      <alignment horizontal="center" vertical="center"/>
    </xf>
    <xf numFmtId="164" fontId="11" fillId="2" borderId="1" xfId="2" applyNumberFormat="1" applyFont="1" applyFill="1" applyBorder="1" applyAlignment="1">
      <alignment horizontal="center" vertical="center"/>
    </xf>
    <xf numFmtId="0" fontId="7" fillId="0" borderId="0" xfId="0" applyFont="1" applyAlignment="1">
      <alignment horizontal="center" vertical="center" wrapText="1"/>
    </xf>
    <xf numFmtId="41" fontId="0" fillId="0" borderId="0" xfId="0" applyNumberFormat="1" applyAlignment="1">
      <alignment vertical="center"/>
    </xf>
    <xf numFmtId="41" fontId="0" fillId="0" borderId="0" xfId="1" applyFont="1" applyAlignment="1">
      <alignment vertical="center"/>
    </xf>
    <xf numFmtId="3" fontId="0" fillId="0" borderId="0" xfId="0" applyNumberFormat="1" applyAlignment="1">
      <alignment vertical="center"/>
    </xf>
    <xf numFmtId="0" fontId="0" fillId="0" borderId="0" xfId="0" applyAlignment="1">
      <alignment horizontal="center"/>
    </xf>
    <xf numFmtId="3" fontId="0" fillId="0" borderId="2" xfId="0" applyNumberFormat="1" applyFont="1" applyFill="1" applyBorder="1" applyAlignment="1">
      <alignment horizontal="center" vertical="center"/>
    </xf>
    <xf numFmtId="4" fontId="0" fillId="0" borderId="0" xfId="0" applyNumberFormat="1" applyAlignment="1">
      <alignment vertical="center"/>
    </xf>
    <xf numFmtId="4" fontId="3" fillId="0" borderId="0" xfId="0" applyNumberFormat="1" applyFont="1" applyAlignment="1">
      <alignment vertical="center"/>
    </xf>
    <xf numFmtId="3" fontId="0" fillId="0" borderId="1" xfId="0" applyNumberFormat="1" applyFill="1" applyBorder="1" applyAlignment="1">
      <alignment wrapText="1"/>
    </xf>
    <xf numFmtId="3" fontId="0" fillId="0" borderId="1" xfId="0" applyNumberFormat="1" applyFill="1" applyBorder="1" applyAlignment="1">
      <alignment horizontal="center" vertical="center"/>
    </xf>
    <xf numFmtId="3" fontId="0" fillId="0" borderId="14" xfId="0" applyNumberFormat="1" applyFont="1" applyFill="1" applyBorder="1" applyAlignment="1">
      <alignment horizontal="center" vertical="center"/>
    </xf>
    <xf numFmtId="164" fontId="11" fillId="0" borderId="1" xfId="2" applyNumberFormat="1" applyFont="1" applyFill="1" applyBorder="1" applyAlignment="1">
      <alignment horizontal="center" vertical="center"/>
    </xf>
    <xf numFmtId="3" fontId="0" fillId="0" borderId="1" xfId="0" applyNumberFormat="1" applyFont="1" applyFill="1" applyBorder="1" applyAlignment="1">
      <alignment horizontal="left" vertical="top" wrapText="1"/>
    </xf>
    <xf numFmtId="3" fontId="0" fillId="7" borderId="1" xfId="0" applyNumberFormat="1" applyFont="1" applyFill="1" applyBorder="1" applyAlignment="1">
      <alignment horizontal="left" vertical="top" wrapText="1"/>
    </xf>
    <xf numFmtId="3" fontId="0" fillId="7" borderId="14" xfId="0" applyNumberFormat="1" applyFont="1" applyFill="1" applyBorder="1" applyAlignment="1">
      <alignment horizontal="center" vertical="center"/>
    </xf>
    <xf numFmtId="3" fontId="0" fillId="7" borderId="6" xfId="0" applyNumberFormat="1" applyFont="1" applyFill="1" applyBorder="1" applyAlignment="1">
      <alignment horizontal="center" vertical="center"/>
    </xf>
    <xf numFmtId="3" fontId="0" fillId="7" borderId="1" xfId="0" applyNumberFormat="1" applyFill="1" applyBorder="1" applyAlignment="1">
      <alignment wrapText="1"/>
    </xf>
    <xf numFmtId="3" fontId="0" fillId="7" borderId="14" xfId="0" applyNumberFormat="1" applyFill="1" applyBorder="1" applyAlignment="1">
      <alignment horizontal="center" vertical="center"/>
    </xf>
    <xf numFmtId="3" fontId="0" fillId="7" borderId="6" xfId="0" applyNumberFormat="1" applyFill="1" applyBorder="1" applyAlignment="1">
      <alignment horizontal="center" vertical="center"/>
    </xf>
    <xf numFmtId="0" fontId="19" fillId="0" borderId="0" xfId="0" applyFont="1" applyAlignment="1">
      <alignment horizontal="left" vertical="center" indent="1"/>
    </xf>
    <xf numFmtId="0" fontId="19" fillId="0" borderId="0" xfId="0" applyFont="1" applyAlignment="1">
      <alignment vertical="center"/>
    </xf>
    <xf numFmtId="0" fontId="19" fillId="0" borderId="0" xfId="0" applyFont="1" applyAlignment="1">
      <alignment horizontal="center" vertical="center"/>
    </xf>
    <xf numFmtId="0" fontId="20" fillId="0" borderId="0" xfId="0" applyFont="1" applyAlignment="1">
      <alignment horizontal="center" vertical="center"/>
    </xf>
    <xf numFmtId="9" fontId="14" fillId="4" borderId="1" xfId="2" applyNumberFormat="1" applyFont="1" applyFill="1" applyBorder="1" applyAlignment="1">
      <alignment horizontal="center" vertical="center"/>
    </xf>
    <xf numFmtId="0" fontId="7" fillId="0" borderId="0" xfId="0" applyFont="1" applyAlignment="1">
      <alignment horizontal="center" vertical="center"/>
    </xf>
    <xf numFmtId="0" fontId="7" fillId="0" borderId="0" xfId="0" applyFont="1" applyBorder="1" applyAlignment="1">
      <alignment horizontal="center" vertical="center" wrapText="1"/>
    </xf>
    <xf numFmtId="0" fontId="7" fillId="0" borderId="0" xfId="0" applyFont="1" applyAlignment="1">
      <alignment horizontal="center" vertical="center" wrapText="1"/>
    </xf>
    <xf numFmtId="0" fontId="7" fillId="0" borderId="15" xfId="0" applyFont="1" applyBorder="1" applyAlignment="1">
      <alignment horizontal="center" vertical="center" wrapText="1"/>
    </xf>
    <xf numFmtId="0" fontId="16" fillId="0" borderId="0" xfId="0" applyFont="1" applyAlignment="1">
      <alignment horizontal="left" vertical="center" wrapText="1"/>
    </xf>
    <xf numFmtId="0" fontId="0" fillId="3" borderId="10" xfId="0" applyFill="1" applyBorder="1" applyAlignment="1">
      <alignment horizontal="left" vertical="center" wrapText="1"/>
    </xf>
    <xf numFmtId="0" fontId="0" fillId="3" borderId="11" xfId="0" applyFill="1" applyBorder="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4" fillId="4" borderId="3" xfId="0" applyFont="1" applyFill="1" applyBorder="1" applyAlignment="1">
      <alignment horizontal="center" vertical="top"/>
    </xf>
    <xf numFmtId="0" fontId="14" fillId="4" borderId="4" xfId="0" applyFont="1" applyFill="1" applyBorder="1" applyAlignment="1">
      <alignment horizontal="center" vertical="top"/>
    </xf>
    <xf numFmtId="0" fontId="14" fillId="4" borderId="5" xfId="0" applyFont="1" applyFill="1" applyBorder="1" applyAlignment="1">
      <alignment horizontal="center" vertical="top"/>
    </xf>
    <xf numFmtId="0" fontId="15" fillId="0" borderId="3" xfId="0" applyFont="1" applyBorder="1" applyAlignment="1">
      <alignment horizontal="center" vertical="top"/>
    </xf>
    <xf numFmtId="0" fontId="15" fillId="0" borderId="4" xfId="0" applyFont="1" applyBorder="1" applyAlignment="1">
      <alignment horizontal="center" vertical="top"/>
    </xf>
    <xf numFmtId="0" fontId="15" fillId="0" borderId="5" xfId="0" applyFont="1" applyBorder="1" applyAlignment="1">
      <alignment horizontal="center" vertical="top"/>
    </xf>
    <xf numFmtId="0" fontId="7" fillId="0" borderId="0" xfId="0" applyFont="1" applyAlignment="1">
      <alignment horizontal="lef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3">
    <cellStyle name="Millares [0]" xfId="1" builtinId="6"/>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1.xml"/><Relationship Id="rId5" Type="http://schemas.openxmlformats.org/officeDocument/2006/relationships/externalLink" Target="externalLinks/externalLink3.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323850</xdr:colOff>
      <xdr:row>31</xdr:row>
      <xdr:rowOff>95250</xdr:rowOff>
    </xdr:from>
    <xdr:ext cx="184731" cy="264560"/>
    <xdr:sp macro="" textlink="">
      <xdr:nvSpPr>
        <xdr:cNvPr id="2" name="CuadroTexto 1">
          <a:extLst>
            <a:ext uri="{FF2B5EF4-FFF2-40B4-BE49-F238E27FC236}">
              <a16:creationId xmlns:a16="http://schemas.microsoft.com/office/drawing/2014/main" id="{2B84D185-D20F-41E9-B69E-6B9B9FC75AC7}"/>
            </a:ext>
          </a:extLst>
        </xdr:cNvPr>
        <xdr:cNvSpPr txBox="1"/>
      </xdr:nvSpPr>
      <xdr:spPr>
        <a:xfrm>
          <a:off x="3981450" y="7715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INFORMES\2021\MATRIZ%20BD%202021\Comportamiento%20Formulado%20Mensual%20PQRD%202.021%20May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jaime_diaz_supersalud_gov_co/Documents/Escritorio/Pendientes/1/RQ-Plantilla-PQRD-Prueba%20JD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liana.moreno\AppData\Local\Microsoft\Windows\INetCache\Content.Outlook\UB5ZOXIB\RQ-Plantilla-PQRD-AGOSTO%20JDC.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INFORMES\2021\MATRIZ%20BD%202021\Comportamiento%20Formulado%20Mensual%20PQRD%202.021%20Nov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 Generales"/>
      <sheetName val="II.Departamento"/>
      <sheetName val="III.R Contributivo"/>
      <sheetName val="IV.R Subsidiado"/>
      <sheetName val="V.Tasa Rc y Rs"/>
      <sheetName val="VI. R Adaptado Especial y Excpt"/>
      <sheetName val="VII. Emp Medicina Prep"/>
      <sheetName val="BD AFILIADOS BDUA HISTORICO"/>
    </sheetNames>
    <sheetDataSet>
      <sheetData sheetId="0">
        <row r="56">
          <cell r="C56" t="str">
            <v>TELEFÓNICO</v>
          </cell>
          <cell r="D56">
            <v>97658</v>
          </cell>
          <cell r="E56">
            <v>99205</v>
          </cell>
          <cell r="F56">
            <v>117153</v>
          </cell>
          <cell r="G56">
            <v>116284</v>
          </cell>
          <cell r="H56">
            <v>112279</v>
          </cell>
        </row>
        <row r="57">
          <cell r="C57" t="str">
            <v>WEB</v>
          </cell>
          <cell r="D57">
            <v>37961</v>
          </cell>
          <cell r="E57">
            <v>38176</v>
          </cell>
          <cell r="F57">
            <v>38545</v>
          </cell>
          <cell r="G57">
            <v>40176</v>
          </cell>
          <cell r="H57">
            <v>31933</v>
          </cell>
        </row>
        <row r="58">
          <cell r="C58" t="str">
            <v>CHAT</v>
          </cell>
          <cell r="D58">
            <v>26725</v>
          </cell>
          <cell r="E58">
            <v>26345</v>
          </cell>
          <cell r="F58">
            <v>29128</v>
          </cell>
          <cell r="G58">
            <v>28771</v>
          </cell>
          <cell r="H58">
            <v>25379</v>
          </cell>
        </row>
        <row r="59">
          <cell r="C59" t="str">
            <v>PERSONALIZADO</v>
          </cell>
          <cell r="D59">
            <v>6534</v>
          </cell>
          <cell r="E59">
            <v>8927</v>
          </cell>
          <cell r="F59">
            <v>12456</v>
          </cell>
          <cell r="G59">
            <v>11584</v>
          </cell>
          <cell r="H59">
            <v>9669</v>
          </cell>
        </row>
        <row r="60">
          <cell r="C60" t="str">
            <v>ESCRITO</v>
          </cell>
          <cell r="D60">
            <v>5167</v>
          </cell>
          <cell r="E60">
            <v>6168</v>
          </cell>
          <cell r="F60">
            <v>10192</v>
          </cell>
          <cell r="G60">
            <v>8053</v>
          </cell>
          <cell r="H60">
            <v>10210</v>
          </cell>
        </row>
        <row r="61">
          <cell r="C61" t="str">
            <v>REDES SOCIALES</v>
          </cell>
          <cell r="D61">
            <v>2228</v>
          </cell>
          <cell r="E61">
            <v>1635</v>
          </cell>
          <cell r="F61">
            <v>1830</v>
          </cell>
          <cell r="G61">
            <v>2080</v>
          </cell>
          <cell r="H61">
            <v>1711</v>
          </cell>
        </row>
      </sheetData>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6"/>
      <sheetName val="Hoja3"/>
      <sheetName val="Hoja2"/>
      <sheetName val="Hoja3 (3)"/>
    </sheetNames>
    <sheetDataSet>
      <sheetData sheetId="0">
        <row r="52">
          <cell r="A52" t="str">
            <v>DEPARTAMENTO</v>
          </cell>
          <cell r="B52" t="str">
            <v>ENE</v>
          </cell>
          <cell r="C52" t="str">
            <v>FEB</v>
          </cell>
          <cell r="D52" t="str">
            <v>MAR</v>
          </cell>
          <cell r="E52" t="str">
            <v>ABR</v>
          </cell>
          <cell r="F52" t="str">
            <v>MAY</v>
          </cell>
          <cell r="G52" t="str">
            <v>JUN</v>
          </cell>
          <cell r="H52" t="str">
            <v>JUL</v>
          </cell>
          <cell r="I52" t="str">
            <v>AGO</v>
          </cell>
        </row>
        <row r="53">
          <cell r="A53" t="str">
            <v>RISARALDA</v>
          </cell>
          <cell r="B53">
            <v>2663</v>
          </cell>
          <cell r="C53">
            <v>3003</v>
          </cell>
          <cell r="D53">
            <v>3278</v>
          </cell>
          <cell r="E53">
            <v>2900</v>
          </cell>
          <cell r="F53">
            <v>2422</v>
          </cell>
          <cell r="G53">
            <v>2863</v>
          </cell>
          <cell r="H53">
            <v>3277</v>
          </cell>
          <cell r="I53">
            <v>3379</v>
          </cell>
        </row>
        <row r="54">
          <cell r="A54" t="str">
            <v>VALLE DEL CAUCA</v>
          </cell>
          <cell r="B54">
            <v>11036</v>
          </cell>
          <cell r="C54">
            <v>11532</v>
          </cell>
          <cell r="D54">
            <v>12360</v>
          </cell>
          <cell r="E54">
            <v>12186</v>
          </cell>
          <cell r="F54">
            <v>8239</v>
          </cell>
          <cell r="G54">
            <v>11208</v>
          </cell>
          <cell r="H54">
            <v>13170</v>
          </cell>
          <cell r="I54">
            <v>13120</v>
          </cell>
        </row>
        <row r="55">
          <cell r="A55" t="str">
            <v>BOGOTÁ, D.C.</v>
          </cell>
          <cell r="B55">
            <v>17983</v>
          </cell>
          <cell r="C55">
            <v>18423</v>
          </cell>
          <cell r="D55">
            <v>18932</v>
          </cell>
          <cell r="E55">
            <v>18620</v>
          </cell>
          <cell r="F55">
            <v>18557</v>
          </cell>
          <cell r="G55">
            <v>20962</v>
          </cell>
          <cell r="H55">
            <v>20617</v>
          </cell>
          <cell r="I55">
            <v>19681</v>
          </cell>
        </row>
        <row r="56">
          <cell r="A56" t="str">
            <v>QUINDÍO</v>
          </cell>
          <cell r="B56">
            <v>1196</v>
          </cell>
          <cell r="C56">
            <v>1193</v>
          </cell>
          <cell r="D56">
            <v>1381</v>
          </cell>
          <cell r="E56">
            <v>1160</v>
          </cell>
          <cell r="F56">
            <v>1079</v>
          </cell>
          <cell r="G56">
            <v>1252</v>
          </cell>
          <cell r="H56">
            <v>1343</v>
          </cell>
          <cell r="I56">
            <v>1412</v>
          </cell>
        </row>
        <row r="57">
          <cell r="A57" t="str">
            <v>CALDAS</v>
          </cell>
          <cell r="B57">
            <v>1535</v>
          </cell>
          <cell r="C57">
            <v>1811</v>
          </cell>
          <cell r="D57">
            <v>1966</v>
          </cell>
          <cell r="E57">
            <v>2001</v>
          </cell>
          <cell r="F57">
            <v>1667</v>
          </cell>
          <cell r="G57">
            <v>1910</v>
          </cell>
          <cell r="H57">
            <v>2078</v>
          </cell>
          <cell r="I57">
            <v>2362</v>
          </cell>
        </row>
        <row r="58">
          <cell r="A58" t="str">
            <v>ATLÁNTICO</v>
          </cell>
          <cell r="B58">
            <v>4141</v>
          </cell>
          <cell r="C58">
            <v>4707</v>
          </cell>
          <cell r="D58">
            <v>6298</v>
          </cell>
          <cell r="E58">
            <v>6371</v>
          </cell>
          <cell r="F58">
            <v>4422</v>
          </cell>
          <cell r="G58">
            <v>4222</v>
          </cell>
          <cell r="H58">
            <v>4680</v>
          </cell>
          <cell r="I58">
            <v>4851</v>
          </cell>
        </row>
        <row r="59">
          <cell r="A59" t="str">
            <v>ANTIOQUIA</v>
          </cell>
          <cell r="B59">
            <v>10612</v>
          </cell>
          <cell r="C59">
            <v>11386</v>
          </cell>
          <cell r="D59">
            <v>13150</v>
          </cell>
          <cell r="E59">
            <v>11385</v>
          </cell>
          <cell r="F59">
            <v>10982</v>
          </cell>
          <cell r="G59">
            <v>12132</v>
          </cell>
          <cell r="H59">
            <v>13300</v>
          </cell>
          <cell r="I59">
            <v>14119</v>
          </cell>
        </row>
        <row r="60">
          <cell r="A60" t="str">
            <v>TOLIMA</v>
          </cell>
          <cell r="B60">
            <v>2039</v>
          </cell>
          <cell r="C60">
            <v>2263</v>
          </cell>
          <cell r="D60">
            <v>2357</v>
          </cell>
          <cell r="E60">
            <v>2368</v>
          </cell>
          <cell r="F60">
            <v>2098</v>
          </cell>
          <cell r="G60">
            <v>2229</v>
          </cell>
          <cell r="H60">
            <v>2633</v>
          </cell>
          <cell r="I60">
            <v>2712</v>
          </cell>
        </row>
        <row r="61">
          <cell r="A61" t="str">
            <v>META</v>
          </cell>
          <cell r="B61">
            <v>1268</v>
          </cell>
          <cell r="C61">
            <v>1557</v>
          </cell>
          <cell r="D61">
            <v>1737</v>
          </cell>
          <cell r="E61">
            <v>1760</v>
          </cell>
          <cell r="F61">
            <v>1575</v>
          </cell>
          <cell r="G61">
            <v>1790</v>
          </cell>
          <cell r="H61">
            <v>1997</v>
          </cell>
          <cell r="I61">
            <v>2197</v>
          </cell>
        </row>
        <row r="62">
          <cell r="A62" t="str">
            <v>SANTANDER</v>
          </cell>
          <cell r="B62">
            <v>3174</v>
          </cell>
          <cell r="C62">
            <v>3359</v>
          </cell>
          <cell r="D62">
            <v>3700</v>
          </cell>
          <cell r="E62">
            <v>3387</v>
          </cell>
          <cell r="F62">
            <v>3620</v>
          </cell>
          <cell r="G62">
            <v>4069</v>
          </cell>
          <cell r="H62">
            <v>3806</v>
          </cell>
          <cell r="I62">
            <v>4215</v>
          </cell>
        </row>
        <row r="63">
          <cell r="A63" t="str">
            <v>ARCHIPIÉLAGO DE SAN ANDRÉS, PROVIDENCIA Y SANTA CATALINA</v>
          </cell>
          <cell r="B63">
            <v>315</v>
          </cell>
          <cell r="C63">
            <v>38</v>
          </cell>
          <cell r="D63">
            <v>54</v>
          </cell>
          <cell r="E63">
            <v>73</v>
          </cell>
          <cell r="F63">
            <v>56</v>
          </cell>
          <cell r="G63">
            <v>63</v>
          </cell>
          <cell r="H63">
            <v>54</v>
          </cell>
          <cell r="I63">
            <v>80</v>
          </cell>
        </row>
        <row r="64">
          <cell r="A64" t="str">
            <v>CUNDINAMARCA</v>
          </cell>
          <cell r="B64">
            <v>3475</v>
          </cell>
          <cell r="C64">
            <v>3726</v>
          </cell>
          <cell r="D64">
            <v>3465</v>
          </cell>
          <cell r="E64">
            <v>3555</v>
          </cell>
          <cell r="F64">
            <v>3564</v>
          </cell>
          <cell r="G64">
            <v>3758</v>
          </cell>
          <cell r="H64">
            <v>3767</v>
          </cell>
          <cell r="I64">
            <v>3921</v>
          </cell>
        </row>
        <row r="65">
          <cell r="A65" t="str">
            <v>CAUCA</v>
          </cell>
          <cell r="B65">
            <v>1542</v>
          </cell>
          <cell r="C65">
            <v>1658</v>
          </cell>
          <cell r="D65">
            <v>1776</v>
          </cell>
          <cell r="E65">
            <v>1757</v>
          </cell>
          <cell r="F65">
            <v>1141</v>
          </cell>
          <cell r="G65">
            <v>1354</v>
          </cell>
          <cell r="H65">
            <v>1840</v>
          </cell>
          <cell r="I65">
            <v>1867</v>
          </cell>
        </row>
        <row r="66">
          <cell r="A66" t="str">
            <v>CESAR</v>
          </cell>
          <cell r="B66">
            <v>1204</v>
          </cell>
          <cell r="C66">
            <v>1378</v>
          </cell>
          <cell r="D66">
            <v>1583</v>
          </cell>
          <cell r="E66">
            <v>1650</v>
          </cell>
          <cell r="F66">
            <v>1403</v>
          </cell>
          <cell r="G66">
            <v>1417</v>
          </cell>
          <cell r="H66">
            <v>1469</v>
          </cell>
          <cell r="I66">
            <v>1600</v>
          </cell>
        </row>
        <row r="67">
          <cell r="A67" t="str">
            <v>HUILA</v>
          </cell>
          <cell r="B67">
            <v>1060</v>
          </cell>
          <cell r="C67">
            <v>1167</v>
          </cell>
          <cell r="D67">
            <v>1443</v>
          </cell>
          <cell r="E67">
            <v>1511</v>
          </cell>
          <cell r="F67">
            <v>1166</v>
          </cell>
          <cell r="G67">
            <v>1425</v>
          </cell>
          <cell r="H67">
            <v>1554</v>
          </cell>
          <cell r="I67">
            <v>1616</v>
          </cell>
        </row>
        <row r="68">
          <cell r="A68" t="str">
            <v>CASANARE</v>
          </cell>
          <cell r="B68">
            <v>490</v>
          </cell>
          <cell r="C68">
            <v>382</v>
          </cell>
          <cell r="D68">
            <v>490</v>
          </cell>
          <cell r="E68">
            <v>468</v>
          </cell>
          <cell r="F68">
            <v>420</v>
          </cell>
          <cell r="G68">
            <v>531</v>
          </cell>
          <cell r="H68">
            <v>517</v>
          </cell>
          <cell r="I68">
            <v>529</v>
          </cell>
        </row>
        <row r="69">
          <cell r="A69" t="str">
            <v>BOYACÁ</v>
          </cell>
          <cell r="B69">
            <v>1052</v>
          </cell>
          <cell r="C69">
            <v>1202</v>
          </cell>
          <cell r="D69">
            <v>1166</v>
          </cell>
          <cell r="E69">
            <v>1254</v>
          </cell>
          <cell r="F69">
            <v>1127</v>
          </cell>
          <cell r="G69">
            <v>1219</v>
          </cell>
          <cell r="H69">
            <v>1441</v>
          </cell>
          <cell r="I69">
            <v>1908</v>
          </cell>
        </row>
        <row r="70">
          <cell r="A70" t="str">
            <v>NORTE DE SANTANDER</v>
          </cell>
          <cell r="B70">
            <v>1460</v>
          </cell>
          <cell r="C70">
            <v>1363</v>
          </cell>
          <cell r="D70">
            <v>1578</v>
          </cell>
          <cell r="E70">
            <v>1726</v>
          </cell>
          <cell r="F70">
            <v>1576</v>
          </cell>
          <cell r="G70">
            <v>1638</v>
          </cell>
          <cell r="H70">
            <v>2001</v>
          </cell>
          <cell r="I70">
            <v>2157</v>
          </cell>
        </row>
        <row r="71">
          <cell r="A71" t="str">
            <v>BOLÍVAR</v>
          </cell>
          <cell r="B71">
            <v>1871</v>
          </cell>
          <cell r="C71">
            <v>2218</v>
          </cell>
          <cell r="D71">
            <v>2169</v>
          </cell>
          <cell r="E71">
            <v>2067</v>
          </cell>
          <cell r="F71">
            <v>2161</v>
          </cell>
          <cell r="G71">
            <v>2258</v>
          </cell>
          <cell r="H71">
            <v>2314</v>
          </cell>
          <cell r="I71">
            <v>2303</v>
          </cell>
        </row>
        <row r="72">
          <cell r="A72" t="str">
            <v>MAGDALENA</v>
          </cell>
          <cell r="B72">
            <v>1244</v>
          </cell>
          <cell r="C72">
            <v>1158</v>
          </cell>
          <cell r="D72">
            <v>1531</v>
          </cell>
          <cell r="E72">
            <v>1375</v>
          </cell>
          <cell r="F72">
            <v>1152</v>
          </cell>
          <cell r="G72">
            <v>1201</v>
          </cell>
          <cell r="H72">
            <v>1325</v>
          </cell>
          <cell r="I72">
            <v>1398</v>
          </cell>
        </row>
        <row r="73">
          <cell r="A73" t="str">
            <v>SUCRE</v>
          </cell>
          <cell r="B73">
            <v>594</v>
          </cell>
          <cell r="C73">
            <v>820</v>
          </cell>
          <cell r="D73">
            <v>910</v>
          </cell>
          <cell r="E73">
            <v>910</v>
          </cell>
          <cell r="F73">
            <v>729</v>
          </cell>
          <cell r="G73">
            <v>865</v>
          </cell>
          <cell r="H73">
            <v>935</v>
          </cell>
          <cell r="I73">
            <v>981</v>
          </cell>
        </row>
        <row r="74">
          <cell r="A74" t="str">
            <v>ARAUCA</v>
          </cell>
          <cell r="B74">
            <v>169</v>
          </cell>
          <cell r="C74">
            <v>169</v>
          </cell>
          <cell r="D74">
            <v>173</v>
          </cell>
          <cell r="E74">
            <v>163</v>
          </cell>
          <cell r="F74">
            <v>205</v>
          </cell>
          <cell r="G74">
            <v>261</v>
          </cell>
          <cell r="H74">
            <v>266</v>
          </cell>
          <cell r="I74">
            <v>482</v>
          </cell>
        </row>
        <row r="75">
          <cell r="A75" t="str">
            <v>CHOCÓ</v>
          </cell>
          <cell r="B75">
            <v>235</v>
          </cell>
          <cell r="C75">
            <v>321</v>
          </cell>
          <cell r="D75">
            <v>371</v>
          </cell>
          <cell r="E75">
            <v>332</v>
          </cell>
          <cell r="F75">
            <v>278</v>
          </cell>
          <cell r="G75">
            <v>316</v>
          </cell>
          <cell r="H75">
            <v>317</v>
          </cell>
          <cell r="I75">
            <v>355</v>
          </cell>
        </row>
        <row r="76">
          <cell r="A76" t="str">
            <v>GUAVIARE</v>
          </cell>
          <cell r="B76">
            <v>55</v>
          </cell>
          <cell r="C76">
            <v>79</v>
          </cell>
          <cell r="D76">
            <v>61</v>
          </cell>
          <cell r="E76">
            <v>64</v>
          </cell>
          <cell r="F76">
            <v>52</v>
          </cell>
          <cell r="G76">
            <v>48</v>
          </cell>
          <cell r="H76">
            <v>57</v>
          </cell>
          <cell r="I76">
            <v>68</v>
          </cell>
        </row>
        <row r="77">
          <cell r="A77" t="str">
            <v>CÓRDOBA</v>
          </cell>
          <cell r="B77">
            <v>941</v>
          </cell>
          <cell r="C77">
            <v>1293</v>
          </cell>
          <cell r="D77">
            <v>1335</v>
          </cell>
          <cell r="E77">
            <v>1122</v>
          </cell>
          <cell r="F77">
            <v>1129</v>
          </cell>
          <cell r="G77">
            <v>1281</v>
          </cell>
          <cell r="H77">
            <v>1264</v>
          </cell>
          <cell r="I77">
            <v>1360</v>
          </cell>
        </row>
        <row r="78">
          <cell r="A78" t="str">
            <v>AMAZONAS</v>
          </cell>
          <cell r="B78">
            <v>38</v>
          </cell>
          <cell r="C78">
            <v>52</v>
          </cell>
          <cell r="D78">
            <v>55</v>
          </cell>
          <cell r="E78">
            <v>33</v>
          </cell>
          <cell r="F78">
            <v>17</v>
          </cell>
          <cell r="G78">
            <v>70</v>
          </cell>
          <cell r="H78">
            <v>42</v>
          </cell>
          <cell r="I78">
            <v>57</v>
          </cell>
        </row>
        <row r="79">
          <cell r="A79" t="str">
            <v>NARIÑO</v>
          </cell>
          <cell r="B79">
            <v>739</v>
          </cell>
          <cell r="C79">
            <v>756</v>
          </cell>
          <cell r="D79">
            <v>819</v>
          </cell>
          <cell r="E79">
            <v>792</v>
          </cell>
          <cell r="F79">
            <v>697</v>
          </cell>
          <cell r="G79">
            <v>743</v>
          </cell>
          <cell r="H79">
            <v>916</v>
          </cell>
          <cell r="I79">
            <v>965</v>
          </cell>
        </row>
        <row r="80">
          <cell r="A80" t="str">
            <v>PUTUMAYO</v>
          </cell>
          <cell r="B80">
            <v>136</v>
          </cell>
          <cell r="C80">
            <v>154</v>
          </cell>
          <cell r="D80">
            <v>171</v>
          </cell>
          <cell r="E80">
            <v>181</v>
          </cell>
          <cell r="F80">
            <v>152</v>
          </cell>
          <cell r="G80">
            <v>131</v>
          </cell>
          <cell r="H80">
            <v>119</v>
          </cell>
          <cell r="I80">
            <v>196</v>
          </cell>
        </row>
        <row r="81">
          <cell r="A81" t="str">
            <v>LA GUAJIRA</v>
          </cell>
          <cell r="B81">
            <v>338</v>
          </cell>
          <cell r="C81">
            <v>391</v>
          </cell>
          <cell r="D81">
            <v>520</v>
          </cell>
          <cell r="E81">
            <v>591</v>
          </cell>
          <cell r="F81">
            <v>488</v>
          </cell>
          <cell r="G81">
            <v>397</v>
          </cell>
          <cell r="H81">
            <v>456</v>
          </cell>
          <cell r="I81">
            <v>509</v>
          </cell>
        </row>
        <row r="82">
          <cell r="A82" t="str">
            <v>CAQUETÁ</v>
          </cell>
          <cell r="B82">
            <v>159</v>
          </cell>
          <cell r="C82">
            <v>154</v>
          </cell>
          <cell r="D82">
            <v>199</v>
          </cell>
          <cell r="E82">
            <v>160</v>
          </cell>
          <cell r="F82">
            <v>166</v>
          </cell>
          <cell r="G82">
            <v>158</v>
          </cell>
          <cell r="H82">
            <v>179</v>
          </cell>
          <cell r="I82">
            <v>187</v>
          </cell>
        </row>
        <row r="83">
          <cell r="A83" t="str">
            <v>GUAINÍA</v>
          </cell>
          <cell r="B83">
            <v>11</v>
          </cell>
          <cell r="C83">
            <v>13</v>
          </cell>
          <cell r="D83">
            <v>22</v>
          </cell>
          <cell r="E83">
            <v>14</v>
          </cell>
          <cell r="F83">
            <v>20</v>
          </cell>
          <cell r="G83">
            <v>23</v>
          </cell>
          <cell r="H83">
            <v>12</v>
          </cell>
          <cell r="I83">
            <v>32</v>
          </cell>
        </row>
        <row r="84">
          <cell r="A84" t="str">
            <v>VICHADA</v>
          </cell>
          <cell r="B84">
            <v>11</v>
          </cell>
          <cell r="C84">
            <v>24</v>
          </cell>
          <cell r="D84">
            <v>38</v>
          </cell>
          <cell r="E84">
            <v>38</v>
          </cell>
          <cell r="F84">
            <v>21</v>
          </cell>
          <cell r="G84">
            <v>19</v>
          </cell>
          <cell r="H84">
            <v>24</v>
          </cell>
          <cell r="I84">
            <v>19</v>
          </cell>
        </row>
        <row r="85">
          <cell r="A85" t="str">
            <v>VAUPÉS</v>
          </cell>
          <cell r="B85">
            <v>8</v>
          </cell>
          <cell r="C85">
            <v>7</v>
          </cell>
          <cell r="D85">
            <v>5</v>
          </cell>
          <cell r="E85">
            <v>6</v>
          </cell>
          <cell r="F85">
            <v>4</v>
          </cell>
          <cell r="G85">
            <v>4</v>
          </cell>
          <cell r="H85">
            <v>9</v>
          </cell>
          <cell r="I85">
            <v>25</v>
          </cell>
        </row>
        <row r="172">
          <cell r="A172" t="str">
            <v>EPS</v>
          </cell>
          <cell r="B172" t="str">
            <v>ENE</v>
          </cell>
          <cell r="C172" t="str">
            <v>FEB</v>
          </cell>
          <cell r="D172" t="str">
            <v>MAR</v>
          </cell>
          <cell r="E172" t="str">
            <v>ABR</v>
          </cell>
          <cell r="F172" t="str">
            <v>MAY</v>
          </cell>
          <cell r="G172" t="str">
            <v>JUN</v>
          </cell>
          <cell r="H172" t="str">
            <v>JUL</v>
          </cell>
          <cell r="I172" t="str">
            <v>AGO</v>
          </cell>
          <cell r="J172" t="str">
            <v>TOTAL AÑO 2.021</v>
          </cell>
          <cell r="K172" t="str">
            <v>AFILIADOS AGOSTO 2.021</v>
          </cell>
        </row>
        <row r="173">
          <cell r="A173" t="str">
            <v>COOMEVA</v>
          </cell>
          <cell r="B173">
            <v>4460</v>
          </cell>
          <cell r="C173">
            <v>4392</v>
          </cell>
          <cell r="D173">
            <v>5144</v>
          </cell>
          <cell r="E173">
            <v>5137</v>
          </cell>
          <cell r="F173">
            <v>5639</v>
          </cell>
          <cell r="G173">
            <v>6861</v>
          </cell>
          <cell r="H173">
            <v>5932</v>
          </cell>
          <cell r="I173">
            <v>5219</v>
          </cell>
          <cell r="J173">
            <v>42784</v>
          </cell>
          <cell r="K173">
            <v>1308395</v>
          </cell>
        </row>
        <row r="174">
          <cell r="A174" t="str">
            <v>MEDIMÁS</v>
          </cell>
          <cell r="B174">
            <v>3400</v>
          </cell>
          <cell r="C174">
            <v>3500</v>
          </cell>
          <cell r="D174">
            <v>3797</v>
          </cell>
          <cell r="E174">
            <v>3635</v>
          </cell>
          <cell r="F174">
            <v>2900</v>
          </cell>
          <cell r="G174">
            <v>3476</v>
          </cell>
          <cell r="H174">
            <v>4275</v>
          </cell>
          <cell r="I174">
            <v>4202</v>
          </cell>
          <cell r="J174">
            <v>29185</v>
          </cell>
          <cell r="K174">
            <v>937543</v>
          </cell>
        </row>
        <row r="175">
          <cell r="A175" t="str">
            <v>SERVICIO OCCIDENTAL DE SALUD (SOS)</v>
          </cell>
          <cell r="B175">
            <v>2917</v>
          </cell>
          <cell r="C175">
            <v>2571</v>
          </cell>
          <cell r="D175">
            <v>2652</v>
          </cell>
          <cell r="E175">
            <v>2588</v>
          </cell>
          <cell r="F175">
            <v>1815</v>
          </cell>
          <cell r="G175">
            <v>2402</v>
          </cell>
          <cell r="H175">
            <v>2924</v>
          </cell>
          <cell r="I175">
            <v>2904</v>
          </cell>
          <cell r="J175">
            <v>20773</v>
          </cell>
          <cell r="K175">
            <v>824125</v>
          </cell>
        </row>
        <row r="176">
          <cell r="A176" t="str">
            <v>COMFENALCO VALLE</v>
          </cell>
          <cell r="B176">
            <v>540</v>
          </cell>
          <cell r="C176">
            <v>1003</v>
          </cell>
          <cell r="D176">
            <v>609</v>
          </cell>
          <cell r="E176">
            <v>685</v>
          </cell>
          <cell r="F176">
            <v>503</v>
          </cell>
          <cell r="G176">
            <v>648</v>
          </cell>
          <cell r="H176">
            <v>778</v>
          </cell>
          <cell r="I176">
            <v>644</v>
          </cell>
          <cell r="J176">
            <v>5410</v>
          </cell>
          <cell r="K176">
            <v>259320</v>
          </cell>
        </row>
        <row r="177">
          <cell r="A177" t="str">
            <v>NUEVA EPS</v>
          </cell>
          <cell r="B177">
            <v>12497</v>
          </cell>
          <cell r="C177">
            <v>11713</v>
          </cell>
          <cell r="D177">
            <v>12547</v>
          </cell>
          <cell r="E177">
            <v>11641</v>
          </cell>
          <cell r="F177">
            <v>10099</v>
          </cell>
          <cell r="G177">
            <v>11419</v>
          </cell>
          <cell r="H177">
            <v>11739</v>
          </cell>
          <cell r="I177">
            <v>12456</v>
          </cell>
          <cell r="J177">
            <v>94111</v>
          </cell>
          <cell r="K177">
            <v>5343217</v>
          </cell>
        </row>
        <row r="178">
          <cell r="A178" t="str">
            <v>COMPENSAR</v>
          </cell>
          <cell r="B178">
            <v>4229</v>
          </cell>
          <cell r="C178">
            <v>3848</v>
          </cell>
          <cell r="D178">
            <v>4120</v>
          </cell>
          <cell r="E178">
            <v>4276</v>
          </cell>
          <cell r="F178">
            <v>4276</v>
          </cell>
          <cell r="G178">
            <v>4663</v>
          </cell>
          <cell r="H178">
            <v>4505</v>
          </cell>
          <cell r="I178">
            <v>4214</v>
          </cell>
          <cell r="J178">
            <v>34131</v>
          </cell>
          <cell r="K178">
            <v>2001079</v>
          </cell>
        </row>
        <row r="179">
          <cell r="A179" t="str">
            <v>FAMISANAR</v>
          </cell>
          <cell r="B179">
            <v>4974</v>
          </cell>
          <cell r="C179">
            <v>6291</v>
          </cell>
          <cell r="D179">
            <v>4988</v>
          </cell>
          <cell r="E179">
            <v>5087</v>
          </cell>
          <cell r="F179">
            <v>5035</v>
          </cell>
          <cell r="G179">
            <v>5752</v>
          </cell>
          <cell r="H179">
            <v>5535</v>
          </cell>
          <cell r="I179">
            <v>5429</v>
          </cell>
          <cell r="J179">
            <v>43091</v>
          </cell>
          <cell r="K179">
            <v>2726201</v>
          </cell>
        </row>
        <row r="180">
          <cell r="A180" t="str">
            <v>COOSALUD</v>
          </cell>
          <cell r="B180">
            <v>67</v>
          </cell>
          <cell r="C180">
            <v>94</v>
          </cell>
          <cell r="D180">
            <v>92</v>
          </cell>
          <cell r="E180">
            <v>100</v>
          </cell>
          <cell r="F180">
            <v>100</v>
          </cell>
          <cell r="G180">
            <v>99</v>
          </cell>
          <cell r="H180">
            <v>98</v>
          </cell>
          <cell r="I180">
            <v>133</v>
          </cell>
          <cell r="J180">
            <v>783</v>
          </cell>
          <cell r="K180">
            <v>54072</v>
          </cell>
        </row>
        <row r="181">
          <cell r="A181" t="str">
            <v>SALUD TOTAL</v>
          </cell>
          <cell r="B181">
            <v>6072</v>
          </cell>
          <cell r="C181">
            <v>7659</v>
          </cell>
          <cell r="D181">
            <v>7472</v>
          </cell>
          <cell r="E181">
            <v>7089</v>
          </cell>
          <cell r="F181">
            <v>6725</v>
          </cell>
          <cell r="G181">
            <v>7436</v>
          </cell>
          <cell r="H181">
            <v>7910</v>
          </cell>
          <cell r="I181">
            <v>8436</v>
          </cell>
          <cell r="J181">
            <v>58799</v>
          </cell>
          <cell r="K181">
            <v>4135603</v>
          </cell>
        </row>
        <row r="182">
          <cell r="A182" t="str">
            <v>ALIANSALUD</v>
          </cell>
          <cell r="B182">
            <v>364</v>
          </cell>
          <cell r="C182">
            <v>377</v>
          </cell>
          <cell r="D182">
            <v>405</v>
          </cell>
          <cell r="E182">
            <v>396</v>
          </cell>
          <cell r="F182">
            <v>321</v>
          </cell>
          <cell r="G182">
            <v>369</v>
          </cell>
          <cell r="H182">
            <v>427</v>
          </cell>
          <cell r="I182">
            <v>435</v>
          </cell>
          <cell r="J182">
            <v>3094</v>
          </cell>
          <cell r="K182">
            <v>245150</v>
          </cell>
        </row>
        <row r="183">
          <cell r="A183" t="str">
            <v>SÁNITAS</v>
          </cell>
          <cell r="B183">
            <v>6126</v>
          </cell>
          <cell r="C183">
            <v>5403</v>
          </cell>
          <cell r="D183">
            <v>6046</v>
          </cell>
          <cell r="E183">
            <v>6501</v>
          </cell>
          <cell r="F183">
            <v>6183</v>
          </cell>
          <cell r="G183">
            <v>7401</v>
          </cell>
          <cell r="H183">
            <v>7071</v>
          </cell>
          <cell r="I183">
            <v>7120</v>
          </cell>
          <cell r="J183">
            <v>51851</v>
          </cell>
          <cell r="K183">
            <v>4636475</v>
          </cell>
        </row>
        <row r="184">
          <cell r="A184" t="str">
            <v>EPS SURA</v>
          </cell>
          <cell r="B184">
            <v>5177</v>
          </cell>
          <cell r="C184">
            <v>5393</v>
          </cell>
          <cell r="D184">
            <v>6567</v>
          </cell>
          <cell r="E184">
            <v>5871</v>
          </cell>
          <cell r="F184">
            <v>5202</v>
          </cell>
          <cell r="G184">
            <v>6116</v>
          </cell>
          <cell r="H184">
            <v>7202</v>
          </cell>
          <cell r="I184">
            <v>7477</v>
          </cell>
          <cell r="J184">
            <v>49005</v>
          </cell>
          <cell r="K184">
            <v>4559835</v>
          </cell>
        </row>
        <row r="185">
          <cell r="A185" t="str">
            <v>MUTUAL SER</v>
          </cell>
          <cell r="B185">
            <v>44</v>
          </cell>
          <cell r="C185">
            <v>49</v>
          </cell>
          <cell r="D185">
            <v>58</v>
          </cell>
          <cell r="E185">
            <v>63</v>
          </cell>
          <cell r="F185">
            <v>39</v>
          </cell>
          <cell r="G185">
            <v>60</v>
          </cell>
          <cell r="H185">
            <v>62</v>
          </cell>
          <cell r="I185">
            <v>88</v>
          </cell>
          <cell r="J185">
            <v>463</v>
          </cell>
          <cell r="K185">
            <v>61248</v>
          </cell>
        </row>
        <row r="186">
          <cell r="A186" t="str">
            <v>FUNDACIÓN SALUD MÍA</v>
          </cell>
          <cell r="B186">
            <v>40</v>
          </cell>
          <cell r="C186">
            <v>31</v>
          </cell>
          <cell r="D186">
            <v>43</v>
          </cell>
          <cell r="E186">
            <v>40</v>
          </cell>
          <cell r="F186">
            <v>62</v>
          </cell>
          <cell r="G186">
            <v>67</v>
          </cell>
          <cell r="H186">
            <v>40</v>
          </cell>
          <cell r="I186">
            <v>52</v>
          </cell>
          <cell r="J186">
            <v>375</v>
          </cell>
          <cell r="K186">
            <v>51222</v>
          </cell>
        </row>
        <row r="197">
          <cell r="A197" t="str">
            <v>EPS</v>
          </cell>
          <cell r="B197" t="str">
            <v>ENE</v>
          </cell>
          <cell r="C197" t="str">
            <v>FEB</v>
          </cell>
          <cell r="D197" t="str">
            <v>MAR</v>
          </cell>
          <cell r="E197" t="str">
            <v>ABR</v>
          </cell>
          <cell r="F197" t="str">
            <v>MAY</v>
          </cell>
          <cell r="G197" t="str">
            <v>JUN</v>
          </cell>
          <cell r="H197" t="str">
            <v>JUL</v>
          </cell>
          <cell r="I197" t="str">
            <v>AGO</v>
          </cell>
          <cell r="J197" t="str">
            <v>TOTAL AÑO 2.021</v>
          </cell>
          <cell r="K197" t="str">
            <v>AFILIADOS AGOSTO 2.021</v>
          </cell>
        </row>
        <row r="198">
          <cell r="A198" t="str">
            <v>CAPITAL SALUD</v>
          </cell>
          <cell r="B198">
            <v>2180</v>
          </cell>
          <cell r="C198">
            <v>2659</v>
          </cell>
          <cell r="D198">
            <v>3200</v>
          </cell>
          <cell r="E198">
            <v>2841</v>
          </cell>
          <cell r="F198">
            <v>2639</v>
          </cell>
          <cell r="G198">
            <v>3013</v>
          </cell>
          <cell r="H198">
            <v>3597</v>
          </cell>
          <cell r="I198">
            <v>3893</v>
          </cell>
          <cell r="J198">
            <v>24022</v>
          </cell>
          <cell r="K198">
            <v>1167418</v>
          </cell>
        </row>
        <row r="199">
          <cell r="A199" t="str">
            <v>MEDIMÁS</v>
          </cell>
          <cell r="B199">
            <v>1153</v>
          </cell>
          <cell r="C199">
            <v>1466</v>
          </cell>
          <cell r="D199">
            <v>1589</v>
          </cell>
          <cell r="E199">
            <v>1420</v>
          </cell>
          <cell r="F199">
            <v>1106</v>
          </cell>
          <cell r="G199">
            <v>1150</v>
          </cell>
          <cell r="H199">
            <v>1496</v>
          </cell>
          <cell r="I199">
            <v>1660</v>
          </cell>
          <cell r="J199">
            <v>11040</v>
          </cell>
          <cell r="K199">
            <v>650453</v>
          </cell>
        </row>
        <row r="200">
          <cell r="A200" t="str">
            <v>EMSSANAR</v>
          </cell>
          <cell r="B200">
            <v>2221</v>
          </cell>
          <cell r="C200">
            <v>2630</v>
          </cell>
          <cell r="D200">
            <v>2910</v>
          </cell>
          <cell r="E200">
            <v>2935</v>
          </cell>
          <cell r="F200">
            <v>1845</v>
          </cell>
          <cell r="G200">
            <v>2252</v>
          </cell>
          <cell r="H200">
            <v>2967</v>
          </cell>
          <cell r="I200">
            <v>3219</v>
          </cell>
          <cell r="J200">
            <v>20979</v>
          </cell>
          <cell r="K200">
            <v>1949945</v>
          </cell>
        </row>
        <row r="201">
          <cell r="A201" t="str">
            <v>SAVIA SALUD EPS</v>
          </cell>
          <cell r="B201">
            <v>1932</v>
          </cell>
          <cell r="C201">
            <v>2121</v>
          </cell>
          <cell r="D201">
            <v>2451</v>
          </cell>
          <cell r="E201">
            <v>1951</v>
          </cell>
          <cell r="F201">
            <v>1837</v>
          </cell>
          <cell r="G201">
            <v>1955</v>
          </cell>
          <cell r="H201">
            <v>2290</v>
          </cell>
          <cell r="I201">
            <v>2509</v>
          </cell>
          <cell r="J201">
            <v>17046</v>
          </cell>
          <cell r="K201">
            <v>1659091</v>
          </cell>
        </row>
        <row r="202">
          <cell r="A202" t="str">
            <v>ECOOPSOS</v>
          </cell>
          <cell r="B202">
            <v>349</v>
          </cell>
          <cell r="C202">
            <v>369</v>
          </cell>
          <cell r="D202">
            <v>455</v>
          </cell>
          <cell r="E202">
            <v>399</v>
          </cell>
          <cell r="F202">
            <v>398</v>
          </cell>
          <cell r="G202">
            <v>381</v>
          </cell>
          <cell r="H202">
            <v>373</v>
          </cell>
          <cell r="I202">
            <v>361</v>
          </cell>
          <cell r="J202">
            <v>3085</v>
          </cell>
          <cell r="K202">
            <v>331507</v>
          </cell>
        </row>
        <row r="203">
          <cell r="A203" t="str">
            <v>CCF ATLÁNTICO "CAJACOPI"</v>
          </cell>
          <cell r="B203">
            <v>1056</v>
          </cell>
          <cell r="C203">
            <v>1358</v>
          </cell>
          <cell r="D203">
            <v>1595</v>
          </cell>
          <cell r="E203">
            <v>1596</v>
          </cell>
          <cell r="F203">
            <v>1542</v>
          </cell>
          <cell r="G203">
            <v>1439</v>
          </cell>
          <cell r="H203">
            <v>1479</v>
          </cell>
          <cell r="I203">
            <v>1710</v>
          </cell>
          <cell r="J203">
            <v>11775</v>
          </cell>
          <cell r="K203">
            <v>1409144</v>
          </cell>
        </row>
        <row r="204">
          <cell r="A204" t="str">
            <v>CONVIDA</v>
          </cell>
          <cell r="B204">
            <v>456</v>
          </cell>
          <cell r="C204">
            <v>523</v>
          </cell>
          <cell r="D204">
            <v>544</v>
          </cell>
          <cell r="E204">
            <v>454</v>
          </cell>
          <cell r="F204">
            <v>437</v>
          </cell>
          <cell r="G204">
            <v>480</v>
          </cell>
          <cell r="H204">
            <v>491</v>
          </cell>
          <cell r="I204">
            <v>643</v>
          </cell>
          <cell r="J204">
            <v>4028</v>
          </cell>
          <cell r="K204">
            <v>503697</v>
          </cell>
        </row>
        <row r="205">
          <cell r="A205" t="str">
            <v>CCF HUILA "COMFAMILIAR HUILA"</v>
          </cell>
          <cell r="B205">
            <v>373</v>
          </cell>
          <cell r="C205">
            <v>378</v>
          </cell>
          <cell r="D205">
            <v>510</v>
          </cell>
          <cell r="E205">
            <v>498</v>
          </cell>
          <cell r="F205">
            <v>390</v>
          </cell>
          <cell r="G205">
            <v>431</v>
          </cell>
          <cell r="H205">
            <v>533</v>
          </cell>
          <cell r="I205">
            <v>555</v>
          </cell>
          <cell r="J205">
            <v>3668</v>
          </cell>
          <cell r="K205">
            <v>550740</v>
          </cell>
        </row>
        <row r="206">
          <cell r="A206" t="str">
            <v>ASMET SALUD</v>
          </cell>
          <cell r="B206">
            <v>1079</v>
          </cell>
          <cell r="C206">
            <v>1324</v>
          </cell>
          <cell r="D206">
            <v>1494</v>
          </cell>
          <cell r="E206">
            <v>1425</v>
          </cell>
          <cell r="F206">
            <v>1121</v>
          </cell>
          <cell r="G206">
            <v>1326</v>
          </cell>
          <cell r="H206">
            <v>1640</v>
          </cell>
          <cell r="I206">
            <v>1747</v>
          </cell>
          <cell r="J206">
            <v>11156</v>
          </cell>
          <cell r="K206">
            <v>1947064</v>
          </cell>
        </row>
        <row r="207">
          <cell r="A207" t="str">
            <v>NUEVA EPS</v>
          </cell>
          <cell r="B207">
            <v>1364</v>
          </cell>
          <cell r="C207">
            <v>1655</v>
          </cell>
          <cell r="D207">
            <v>1880</v>
          </cell>
          <cell r="E207">
            <v>1803</v>
          </cell>
          <cell r="F207">
            <v>1795</v>
          </cell>
          <cell r="G207">
            <v>2024</v>
          </cell>
          <cell r="H207">
            <v>2231</v>
          </cell>
          <cell r="I207">
            <v>2932</v>
          </cell>
          <cell r="J207">
            <v>15684</v>
          </cell>
          <cell r="K207">
            <v>3037798</v>
          </cell>
        </row>
        <row r="208">
          <cell r="A208" t="str">
            <v>COOSALUD</v>
          </cell>
          <cell r="B208">
            <v>1455</v>
          </cell>
          <cell r="C208">
            <v>1704</v>
          </cell>
          <cell r="D208">
            <v>2028</v>
          </cell>
          <cell r="E208">
            <v>1878</v>
          </cell>
          <cell r="F208">
            <v>1691</v>
          </cell>
          <cell r="G208">
            <v>2020</v>
          </cell>
          <cell r="H208">
            <v>2224</v>
          </cell>
          <cell r="I208">
            <v>2643</v>
          </cell>
          <cell r="J208">
            <v>15643</v>
          </cell>
          <cell r="K208">
            <v>3069367</v>
          </cell>
        </row>
        <row r="209">
          <cell r="A209" t="str">
            <v>CCF DE SUCRE</v>
          </cell>
          <cell r="B209">
            <v>38</v>
          </cell>
          <cell r="C209">
            <v>41</v>
          </cell>
          <cell r="D209">
            <v>70</v>
          </cell>
          <cell r="E209">
            <v>64</v>
          </cell>
          <cell r="F209">
            <v>75</v>
          </cell>
          <cell r="G209">
            <v>86</v>
          </cell>
          <cell r="H209">
            <v>101</v>
          </cell>
          <cell r="I209">
            <v>91</v>
          </cell>
          <cell r="J209">
            <v>566</v>
          </cell>
          <cell r="K209">
            <v>118888</v>
          </cell>
        </row>
        <row r="210">
          <cell r="A210" t="str">
            <v>CAPRESOCA</v>
          </cell>
          <cell r="B210">
            <v>106</v>
          </cell>
          <cell r="C210">
            <v>84</v>
          </cell>
          <cell r="D210">
            <v>98</v>
          </cell>
          <cell r="E210">
            <v>98</v>
          </cell>
          <cell r="F210">
            <v>85</v>
          </cell>
          <cell r="G210">
            <v>95</v>
          </cell>
          <cell r="H210">
            <v>116</v>
          </cell>
          <cell r="I210">
            <v>145</v>
          </cell>
          <cell r="J210">
            <v>827</v>
          </cell>
          <cell r="K210">
            <v>174015</v>
          </cell>
        </row>
        <row r="211">
          <cell r="A211" t="str">
            <v>CCF CHOCÓ "COMFACHOCÓ"</v>
          </cell>
          <cell r="B211">
            <v>64</v>
          </cell>
          <cell r="C211">
            <v>88</v>
          </cell>
          <cell r="D211">
            <v>87</v>
          </cell>
          <cell r="E211">
            <v>78</v>
          </cell>
          <cell r="F211">
            <v>85</v>
          </cell>
          <cell r="G211">
            <v>101</v>
          </cell>
          <cell r="H211">
            <v>99</v>
          </cell>
          <cell r="I211">
            <v>65</v>
          </cell>
          <cell r="J211">
            <v>667</v>
          </cell>
          <cell r="K211">
            <v>178432</v>
          </cell>
        </row>
        <row r="212">
          <cell r="A212" t="str">
            <v>CCF ORIENTE "COMFAORIENTE"</v>
          </cell>
          <cell r="B212">
            <v>64</v>
          </cell>
          <cell r="C212">
            <v>71</v>
          </cell>
          <cell r="D212">
            <v>92</v>
          </cell>
          <cell r="E212">
            <v>87</v>
          </cell>
          <cell r="F212">
            <v>86</v>
          </cell>
          <cell r="G212">
            <v>79</v>
          </cell>
          <cell r="H212">
            <v>95</v>
          </cell>
          <cell r="I212">
            <v>105</v>
          </cell>
          <cell r="J212">
            <v>679</v>
          </cell>
          <cell r="K212">
            <v>210855</v>
          </cell>
        </row>
        <row r="213">
          <cell r="A213" t="str">
            <v>MUTUAL SER</v>
          </cell>
          <cell r="B213">
            <v>686</v>
          </cell>
          <cell r="C213">
            <v>854</v>
          </cell>
          <cell r="D213">
            <v>1012</v>
          </cell>
          <cell r="E213">
            <v>952</v>
          </cell>
          <cell r="F213">
            <v>946</v>
          </cell>
          <cell r="G213">
            <v>889</v>
          </cell>
          <cell r="H213">
            <v>1105</v>
          </cell>
          <cell r="I213">
            <v>1155</v>
          </cell>
          <cell r="J213">
            <v>7599</v>
          </cell>
          <cell r="K213">
            <v>2359872</v>
          </cell>
        </row>
        <row r="214">
          <cell r="A214" t="str">
            <v>CCF DE LA GUAJIRA</v>
          </cell>
          <cell r="B214">
            <v>37</v>
          </cell>
          <cell r="C214">
            <v>46</v>
          </cell>
          <cell r="D214">
            <v>71</v>
          </cell>
          <cell r="E214">
            <v>72</v>
          </cell>
          <cell r="F214">
            <v>70</v>
          </cell>
          <cell r="G214">
            <v>53</v>
          </cell>
          <cell r="H214">
            <v>72</v>
          </cell>
          <cell r="I214">
            <v>74</v>
          </cell>
          <cell r="J214">
            <v>495</v>
          </cell>
          <cell r="K214">
            <v>258993</v>
          </cell>
        </row>
        <row r="215">
          <cell r="A215" t="str">
            <v>PIJAOS SALUD (EPS-I)</v>
          </cell>
          <cell r="B215">
            <v>22</v>
          </cell>
          <cell r="C215">
            <v>16</v>
          </cell>
          <cell r="D215">
            <v>32</v>
          </cell>
          <cell r="E215">
            <v>14</v>
          </cell>
          <cell r="F215">
            <v>25</v>
          </cell>
          <cell r="G215">
            <v>23</v>
          </cell>
          <cell r="H215">
            <v>25</v>
          </cell>
          <cell r="I215">
            <v>27</v>
          </cell>
          <cell r="J215">
            <v>184</v>
          </cell>
          <cell r="K215">
            <v>100336</v>
          </cell>
        </row>
        <row r="216">
          <cell r="A216" t="str">
            <v>ANAS WAYUU (EPS-I)</v>
          </cell>
          <cell r="B216">
            <v>18</v>
          </cell>
          <cell r="C216">
            <v>42</v>
          </cell>
          <cell r="D216">
            <v>56</v>
          </cell>
          <cell r="E216">
            <v>59</v>
          </cell>
          <cell r="F216">
            <v>67</v>
          </cell>
          <cell r="G216">
            <v>35</v>
          </cell>
          <cell r="H216">
            <v>66</v>
          </cell>
          <cell r="I216">
            <v>51</v>
          </cell>
          <cell r="J216">
            <v>394</v>
          </cell>
          <cell r="K216">
            <v>218963</v>
          </cell>
        </row>
        <row r="217">
          <cell r="A217" t="str">
            <v>AIC - ASOCIACIÓN INDÍGENA DEL CAUCA (EPS-I CAUCA)</v>
          </cell>
          <cell r="B217">
            <v>113</v>
          </cell>
          <cell r="C217">
            <v>103</v>
          </cell>
          <cell r="D217">
            <v>103</v>
          </cell>
          <cell r="E217">
            <v>111</v>
          </cell>
          <cell r="F217">
            <v>81</v>
          </cell>
          <cell r="G217">
            <v>108</v>
          </cell>
          <cell r="H217">
            <v>117</v>
          </cell>
          <cell r="I217">
            <v>144</v>
          </cell>
          <cell r="J217">
            <v>880</v>
          </cell>
          <cell r="K217">
            <v>543933</v>
          </cell>
        </row>
        <row r="218">
          <cell r="A218" t="str">
            <v>MALLAMÁS (EPS-I)</v>
          </cell>
          <cell r="B218">
            <v>54</v>
          </cell>
          <cell r="C218">
            <v>59</v>
          </cell>
          <cell r="D218">
            <v>57</v>
          </cell>
          <cell r="E218">
            <v>80</v>
          </cell>
          <cell r="F218">
            <v>51</v>
          </cell>
          <cell r="G218">
            <v>60</v>
          </cell>
          <cell r="H218">
            <v>59</v>
          </cell>
          <cell r="I218">
            <v>65</v>
          </cell>
          <cell r="J218">
            <v>485</v>
          </cell>
          <cell r="K218">
            <v>347568</v>
          </cell>
        </row>
        <row r="219">
          <cell r="A219" t="str">
            <v>DUSAKAWI (EPS-I CESAR Y GUAJIRA)</v>
          </cell>
          <cell r="B219">
            <v>22</v>
          </cell>
          <cell r="C219">
            <v>22</v>
          </cell>
          <cell r="D219">
            <v>16</v>
          </cell>
          <cell r="E219">
            <v>39</v>
          </cell>
          <cell r="F219">
            <v>36</v>
          </cell>
          <cell r="G219">
            <v>31</v>
          </cell>
          <cell r="H219">
            <v>38</v>
          </cell>
          <cell r="I219">
            <v>36</v>
          </cell>
          <cell r="J219">
            <v>240</v>
          </cell>
          <cell r="K219">
            <v>252479</v>
          </cell>
        </row>
        <row r="220">
          <cell r="A220" t="str">
            <v>**COMPARTA</v>
          </cell>
          <cell r="B220">
            <v>620</v>
          </cell>
          <cell r="C220">
            <v>757</v>
          </cell>
          <cell r="D220">
            <v>946</v>
          </cell>
          <cell r="E220">
            <v>819</v>
          </cell>
          <cell r="F220">
            <v>792</v>
          </cell>
          <cell r="G220">
            <v>824</v>
          </cell>
          <cell r="H220">
            <v>1500</v>
          </cell>
          <cell r="I220">
            <v>1112</v>
          </cell>
          <cell r="J220">
            <v>7370</v>
          </cell>
          <cell r="K220"/>
        </row>
        <row r="221">
          <cell r="A221" t="str">
            <v>**CCF DE NARIÑO</v>
          </cell>
          <cell r="B221">
            <v>87</v>
          </cell>
          <cell r="C221">
            <v>62</v>
          </cell>
          <cell r="D221">
            <v>89</v>
          </cell>
          <cell r="E221">
            <v>67</v>
          </cell>
          <cell r="F221">
            <v>60</v>
          </cell>
          <cell r="G221">
            <v>71</v>
          </cell>
          <cell r="H221">
            <v>52</v>
          </cell>
          <cell r="I221">
            <v>0</v>
          </cell>
          <cell r="J221">
            <v>488</v>
          </cell>
          <cell r="K221">
            <v>0</v>
          </cell>
        </row>
        <row r="222">
          <cell r="A222" t="str">
            <v>**AMBUQ (BARRIOS UNIDOS DE QUIBDÓ)</v>
          </cell>
          <cell r="B222">
            <v>432</v>
          </cell>
          <cell r="C222">
            <v>1304</v>
          </cell>
          <cell r="D222">
            <v>2111</v>
          </cell>
          <cell r="E222">
            <v>2220</v>
          </cell>
          <cell r="F222">
            <v>0</v>
          </cell>
          <cell r="G222">
            <v>0</v>
          </cell>
          <cell r="H222">
            <v>0</v>
          </cell>
          <cell r="I222">
            <v>0</v>
          </cell>
          <cell r="J222">
            <v>6067</v>
          </cell>
          <cell r="K222">
            <v>0</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6"/>
      <sheetName val="Hoja3"/>
      <sheetName val="Hoja2"/>
      <sheetName val="Hoja3 (3)"/>
    </sheetNames>
    <sheetDataSet>
      <sheetData sheetId="0">
        <row r="138">
          <cell r="A138" t="str">
            <v>MACROMOTIVOS</v>
          </cell>
          <cell r="B138" t="str">
            <v>ENE</v>
          </cell>
          <cell r="C138" t="str">
            <v>FEB</v>
          </cell>
          <cell r="D138" t="str">
            <v>MAR</v>
          </cell>
          <cell r="E138" t="str">
            <v>ABR</v>
          </cell>
          <cell r="F138" t="str">
            <v>MAY</v>
          </cell>
          <cell r="G138" t="str">
            <v>JUN</v>
          </cell>
          <cell r="H138" t="str">
            <v>JUL</v>
          </cell>
          <cell r="I138" t="str">
            <v>AGO</v>
          </cell>
          <cell r="J138" t="str">
            <v>TOTAL AÑO 2.021</v>
          </cell>
          <cell r="K138" t="str">
            <v>% PARTICIPACIÓN</v>
          </cell>
        </row>
        <row r="139">
          <cell r="A139" t="str">
            <v>RESTRICCIÓN EN EL ACCESO A LOS SERVICIOS DE SALUD</v>
          </cell>
          <cell r="B139">
            <v>58693</v>
          </cell>
          <cell r="C139">
            <v>60631</v>
          </cell>
          <cell r="D139">
            <v>69748</v>
          </cell>
          <cell r="E139">
            <v>67861</v>
          </cell>
          <cell r="F139">
            <v>59259</v>
          </cell>
          <cell r="G139">
            <v>70032</v>
          </cell>
          <cell r="H139">
            <v>75826</v>
          </cell>
          <cell r="I139">
            <v>78588</v>
          </cell>
          <cell r="J139">
            <v>540638</v>
          </cell>
          <cell r="K139">
            <v>0.83140797332792016</v>
          </cell>
        </row>
        <row r="140">
          <cell r="A140" t="str">
            <v xml:space="preserve">INSATISFACCIÓN DEL USUARIO CON EL PROCESO ADMINISTRATIVO </v>
          </cell>
          <cell r="B140">
            <v>5135</v>
          </cell>
          <cell r="C140">
            <v>5881</v>
          </cell>
          <cell r="D140">
            <v>6698</v>
          </cell>
          <cell r="E140">
            <v>6557</v>
          </cell>
          <cell r="F140">
            <v>5974</v>
          </cell>
          <cell r="G140">
            <v>5129</v>
          </cell>
          <cell r="H140">
            <v>5224</v>
          </cell>
          <cell r="I140">
            <v>5014</v>
          </cell>
          <cell r="J140">
            <v>45612</v>
          </cell>
          <cell r="K140">
            <v>7.014338703426895E-2</v>
          </cell>
        </row>
        <row r="141">
          <cell r="A141" t="str">
            <v>DEFICIENCIA EN LA EFECTIVIDAD DE LA ATENCIÓN EN SALUD</v>
          </cell>
          <cell r="B141">
            <v>4793</v>
          </cell>
          <cell r="C141">
            <v>4493</v>
          </cell>
          <cell r="D141">
            <v>5132</v>
          </cell>
          <cell r="E141">
            <v>4613</v>
          </cell>
          <cell r="F141">
            <v>4355</v>
          </cell>
          <cell r="G141">
            <v>3666</v>
          </cell>
          <cell r="H141">
            <v>3393</v>
          </cell>
          <cell r="I141">
            <v>3354</v>
          </cell>
          <cell r="J141">
            <v>33799</v>
          </cell>
          <cell r="K141">
            <v>5.1977031008753317E-2</v>
          </cell>
        </row>
        <row r="142">
          <cell r="A142" t="str">
            <v>NO RECONOCIMIENTO DE LAS PRESTACIONES ECONÓMICAS</v>
          </cell>
          <cell r="B142">
            <v>3739</v>
          </cell>
          <cell r="C142">
            <v>6335</v>
          </cell>
          <cell r="D142">
            <v>2989</v>
          </cell>
          <cell r="E142">
            <v>2492</v>
          </cell>
          <cell r="F142">
            <v>2390</v>
          </cell>
          <cell r="G142">
            <v>2602</v>
          </cell>
          <cell r="H142">
            <v>2961</v>
          </cell>
          <cell r="I142">
            <v>3247</v>
          </cell>
          <cell r="J142">
            <v>26755</v>
          </cell>
          <cell r="K142">
            <v>4.1144574237083786E-2</v>
          </cell>
        </row>
        <row r="143">
          <cell r="A143" t="str">
            <v>PETICIONES, QUEJAS Y RECLAMOS INTERPUESTAS POR IPS-EPS, ENTIDADES TERRITORIALES Y ORGANISMOS DE CONTROL Y VIGILANCIA</v>
          </cell>
          <cell r="B143">
            <v>345</v>
          </cell>
          <cell r="C143">
            <v>294</v>
          </cell>
          <cell r="D143">
            <v>362</v>
          </cell>
          <cell r="E143">
            <v>315</v>
          </cell>
          <cell r="F143">
            <v>288</v>
          </cell>
          <cell r="G143">
            <v>273</v>
          </cell>
          <cell r="H143">
            <v>274</v>
          </cell>
          <cell r="I143">
            <v>326</v>
          </cell>
          <cell r="J143">
            <v>2477</v>
          </cell>
          <cell r="K143">
            <v>3.8091986688565328E-3</v>
          </cell>
        </row>
      </sheetData>
      <sheetData sheetId="1"/>
      <sheetData sheetId="2">
        <row r="1">
          <cell r="A1" t="str">
            <v>MUNICIPIO</v>
          </cell>
        </row>
      </sheetData>
      <sheetData sheetId="3">
        <row r="1">
          <cell r="A1" t="str">
            <v>DEPARTAMENTO</v>
          </cell>
          <cell r="B1" t="str">
            <v>ENE</v>
          </cell>
          <cell r="C1" t="str">
            <v>FEB</v>
          </cell>
          <cell r="D1" t="str">
            <v>MAR</v>
          </cell>
          <cell r="E1" t="str">
            <v>ABR</v>
          </cell>
          <cell r="F1" t="str">
            <v>MAY</v>
          </cell>
          <cell r="G1" t="str">
            <v>JUN</v>
          </cell>
          <cell r="H1"/>
          <cell r="I1"/>
        </row>
        <row r="2">
          <cell r="A2" t="str">
            <v>AMAZONAS</v>
          </cell>
          <cell r="B2">
            <v>38</v>
          </cell>
          <cell r="C2">
            <v>52</v>
          </cell>
          <cell r="D2">
            <v>55</v>
          </cell>
          <cell r="E2">
            <v>33</v>
          </cell>
          <cell r="F2">
            <v>17</v>
          </cell>
          <cell r="G2">
            <v>70</v>
          </cell>
          <cell r="H2">
            <v>42</v>
          </cell>
          <cell r="I2">
            <v>57</v>
          </cell>
        </row>
        <row r="3">
          <cell r="A3" t="str">
            <v>ANTIOQUIA</v>
          </cell>
          <cell r="B3">
            <v>10612</v>
          </cell>
          <cell r="C3">
            <v>11386</v>
          </cell>
          <cell r="D3">
            <v>13150</v>
          </cell>
          <cell r="E3">
            <v>11385</v>
          </cell>
          <cell r="F3">
            <v>10982</v>
          </cell>
          <cell r="G3">
            <v>12132</v>
          </cell>
          <cell r="H3">
            <v>13300</v>
          </cell>
          <cell r="I3">
            <v>14119</v>
          </cell>
        </row>
        <row r="4">
          <cell r="A4" t="str">
            <v>ARAUCA</v>
          </cell>
          <cell r="B4">
            <v>169</v>
          </cell>
          <cell r="C4">
            <v>169</v>
          </cell>
          <cell r="D4">
            <v>173</v>
          </cell>
          <cell r="E4">
            <v>163</v>
          </cell>
          <cell r="F4">
            <v>205</v>
          </cell>
          <cell r="G4">
            <v>261</v>
          </cell>
          <cell r="H4">
            <v>266</v>
          </cell>
          <cell r="I4">
            <v>482</v>
          </cell>
        </row>
        <row r="5">
          <cell r="A5" t="str">
            <v>ARCHIPIÉLAGO DE SAN ANDRÉS, PROVIDENCIA Y SANTA CATALINA</v>
          </cell>
          <cell r="B5">
            <v>315</v>
          </cell>
          <cell r="C5">
            <v>38</v>
          </cell>
          <cell r="D5">
            <v>54</v>
          </cell>
          <cell r="E5">
            <v>73</v>
          </cell>
          <cell r="F5">
            <v>56</v>
          </cell>
          <cell r="G5">
            <v>63</v>
          </cell>
          <cell r="H5">
            <v>54</v>
          </cell>
          <cell r="I5">
            <v>80</v>
          </cell>
        </row>
        <row r="6">
          <cell r="A6" t="str">
            <v>ATLÁNTICO</v>
          </cell>
          <cell r="B6">
            <v>4141</v>
          </cell>
          <cell r="C6">
            <v>4707</v>
          </cell>
          <cell r="D6">
            <v>6298</v>
          </cell>
          <cell r="E6">
            <v>6371</v>
          </cell>
          <cell r="F6">
            <v>4422</v>
          </cell>
          <cell r="G6">
            <v>4222</v>
          </cell>
          <cell r="H6">
            <v>4680</v>
          </cell>
          <cell r="I6">
            <v>4851</v>
          </cell>
        </row>
        <row r="7">
          <cell r="A7" t="str">
            <v>BOGOTÁ, D.C.</v>
          </cell>
          <cell r="B7">
            <v>17983</v>
          </cell>
          <cell r="C7">
            <v>18423</v>
          </cell>
          <cell r="D7">
            <v>18932</v>
          </cell>
          <cell r="E7">
            <v>18620</v>
          </cell>
          <cell r="F7">
            <v>18557</v>
          </cell>
          <cell r="G7">
            <v>20962</v>
          </cell>
          <cell r="H7">
            <v>20617</v>
          </cell>
          <cell r="I7">
            <v>19681</v>
          </cell>
        </row>
        <row r="8">
          <cell r="A8" t="str">
            <v>BOLÍVAR</v>
          </cell>
          <cell r="B8">
            <v>1871</v>
          </cell>
          <cell r="C8">
            <v>2218</v>
          </cell>
          <cell r="D8">
            <v>2169</v>
          </cell>
          <cell r="E8">
            <v>2067</v>
          </cell>
          <cell r="F8">
            <v>2161</v>
          </cell>
          <cell r="G8">
            <v>2258</v>
          </cell>
          <cell r="H8">
            <v>2314</v>
          </cell>
          <cell r="I8">
            <v>2303</v>
          </cell>
        </row>
        <row r="9">
          <cell r="A9" t="str">
            <v>BOYACÁ</v>
          </cell>
          <cell r="B9">
            <v>1052</v>
          </cell>
          <cell r="C9">
            <v>1202</v>
          </cell>
          <cell r="D9">
            <v>1166</v>
          </cell>
          <cell r="E9">
            <v>1254</v>
          </cell>
          <cell r="F9">
            <v>1127</v>
          </cell>
          <cell r="G9">
            <v>1219</v>
          </cell>
          <cell r="H9">
            <v>1441</v>
          </cell>
          <cell r="I9">
            <v>1908</v>
          </cell>
        </row>
        <row r="10">
          <cell r="A10" t="str">
            <v>CALDAS</v>
          </cell>
          <cell r="B10">
            <v>1535</v>
          </cell>
          <cell r="C10">
            <v>1811</v>
          </cell>
          <cell r="D10">
            <v>1966</v>
          </cell>
          <cell r="E10">
            <v>2001</v>
          </cell>
          <cell r="F10">
            <v>1667</v>
          </cell>
          <cell r="G10">
            <v>1910</v>
          </cell>
          <cell r="H10">
            <v>2078</v>
          </cell>
          <cell r="I10">
            <v>2362</v>
          </cell>
        </row>
        <row r="11">
          <cell r="A11" t="str">
            <v>CAQUETÁ</v>
          </cell>
          <cell r="B11">
            <v>159</v>
          </cell>
          <cell r="C11">
            <v>154</v>
          </cell>
          <cell r="D11">
            <v>199</v>
          </cell>
          <cell r="E11">
            <v>160</v>
          </cell>
          <cell r="F11">
            <v>166</v>
          </cell>
          <cell r="G11">
            <v>158</v>
          </cell>
          <cell r="H11">
            <v>179</v>
          </cell>
          <cell r="I11">
            <v>187</v>
          </cell>
        </row>
        <row r="12">
          <cell r="A12" t="str">
            <v>CASANARE</v>
          </cell>
          <cell r="B12">
            <v>490</v>
          </cell>
          <cell r="C12">
            <v>382</v>
          </cell>
          <cell r="D12">
            <v>490</v>
          </cell>
          <cell r="E12">
            <v>468</v>
          </cell>
          <cell r="F12">
            <v>420</v>
          </cell>
          <cell r="G12">
            <v>531</v>
          </cell>
          <cell r="H12">
            <v>517</v>
          </cell>
          <cell r="I12">
            <v>529</v>
          </cell>
        </row>
        <row r="13">
          <cell r="A13" t="str">
            <v>CAUCA</v>
          </cell>
          <cell r="B13">
            <v>1542</v>
          </cell>
          <cell r="C13">
            <v>1658</v>
          </cell>
          <cell r="D13">
            <v>1776</v>
          </cell>
          <cell r="E13">
            <v>1757</v>
          </cell>
          <cell r="F13">
            <v>1141</v>
          </cell>
          <cell r="G13">
            <v>1354</v>
          </cell>
          <cell r="H13">
            <v>1840</v>
          </cell>
          <cell r="I13">
            <v>1867</v>
          </cell>
        </row>
        <row r="14">
          <cell r="A14" t="str">
            <v>CESAR</v>
          </cell>
          <cell r="B14">
            <v>1204</v>
          </cell>
          <cell r="C14">
            <v>1378</v>
          </cell>
          <cell r="D14">
            <v>1583</v>
          </cell>
          <cell r="E14">
            <v>1650</v>
          </cell>
          <cell r="F14">
            <v>1403</v>
          </cell>
          <cell r="G14">
            <v>1417</v>
          </cell>
          <cell r="H14">
            <v>1469</v>
          </cell>
          <cell r="I14">
            <v>1600</v>
          </cell>
        </row>
        <row r="15">
          <cell r="A15" t="str">
            <v>CHOCÓ</v>
          </cell>
          <cell r="B15">
            <v>235</v>
          </cell>
          <cell r="C15">
            <v>321</v>
          </cell>
          <cell r="D15">
            <v>371</v>
          </cell>
          <cell r="E15">
            <v>332</v>
          </cell>
          <cell r="F15">
            <v>278</v>
          </cell>
          <cell r="G15">
            <v>316</v>
          </cell>
          <cell r="H15">
            <v>317</v>
          </cell>
          <cell r="I15">
            <v>355</v>
          </cell>
        </row>
        <row r="16">
          <cell r="A16" t="str">
            <v>CÓRDOBA</v>
          </cell>
          <cell r="B16">
            <v>941</v>
          </cell>
          <cell r="C16">
            <v>1293</v>
          </cell>
          <cell r="D16">
            <v>1335</v>
          </cell>
          <cell r="E16">
            <v>1122</v>
          </cell>
          <cell r="F16">
            <v>1129</v>
          </cell>
          <cell r="G16">
            <v>1281</v>
          </cell>
          <cell r="H16">
            <v>1264</v>
          </cell>
          <cell r="I16">
            <v>1360</v>
          </cell>
        </row>
        <row r="17">
          <cell r="A17" t="str">
            <v>CUNDINAMARCA</v>
          </cell>
          <cell r="B17">
            <v>3475</v>
          </cell>
          <cell r="C17">
            <v>3726</v>
          </cell>
          <cell r="D17">
            <v>3465</v>
          </cell>
          <cell r="E17">
            <v>3555</v>
          </cell>
          <cell r="F17">
            <v>3564</v>
          </cell>
          <cell r="G17">
            <v>3758</v>
          </cell>
          <cell r="H17">
            <v>3767</v>
          </cell>
          <cell r="I17">
            <v>3921</v>
          </cell>
        </row>
        <row r="18">
          <cell r="A18" t="str">
            <v>GUAINÍA</v>
          </cell>
          <cell r="B18">
            <v>11</v>
          </cell>
          <cell r="C18">
            <v>13</v>
          </cell>
          <cell r="D18">
            <v>22</v>
          </cell>
          <cell r="E18">
            <v>14</v>
          </cell>
          <cell r="F18">
            <v>20</v>
          </cell>
          <cell r="G18">
            <v>23</v>
          </cell>
          <cell r="H18">
            <v>12</v>
          </cell>
          <cell r="I18">
            <v>32</v>
          </cell>
        </row>
        <row r="19">
          <cell r="A19" t="str">
            <v>GUAVIARE</v>
          </cell>
          <cell r="B19">
            <v>55</v>
          </cell>
          <cell r="C19">
            <v>79</v>
          </cell>
          <cell r="D19">
            <v>61</v>
          </cell>
          <cell r="E19">
            <v>64</v>
          </cell>
          <cell r="F19">
            <v>52</v>
          </cell>
          <cell r="G19">
            <v>48</v>
          </cell>
          <cell r="H19">
            <v>57</v>
          </cell>
          <cell r="I19">
            <v>68</v>
          </cell>
        </row>
        <row r="20">
          <cell r="A20" t="str">
            <v>HUILA</v>
          </cell>
          <cell r="B20">
            <v>1060</v>
          </cell>
          <cell r="C20">
            <v>1167</v>
          </cell>
          <cell r="D20">
            <v>1443</v>
          </cell>
          <cell r="E20">
            <v>1511</v>
          </cell>
          <cell r="F20">
            <v>1166</v>
          </cell>
          <cell r="G20">
            <v>1425</v>
          </cell>
          <cell r="H20">
            <v>1554</v>
          </cell>
          <cell r="I20">
            <v>1616</v>
          </cell>
        </row>
        <row r="21">
          <cell r="A21" t="str">
            <v>LA GUAJIRA</v>
          </cell>
          <cell r="B21">
            <v>338</v>
          </cell>
          <cell r="C21">
            <v>391</v>
          </cell>
          <cell r="D21">
            <v>520</v>
          </cell>
          <cell r="E21">
            <v>591</v>
          </cell>
          <cell r="F21">
            <v>488</v>
          </cell>
          <cell r="G21">
            <v>397</v>
          </cell>
          <cell r="H21">
            <v>456</v>
          </cell>
          <cell r="I21">
            <v>509</v>
          </cell>
        </row>
        <row r="22">
          <cell r="A22" t="str">
            <v>MAGDALENA</v>
          </cell>
          <cell r="B22">
            <v>1244</v>
          </cell>
          <cell r="C22">
            <v>1158</v>
          </cell>
          <cell r="D22">
            <v>1531</v>
          </cell>
          <cell r="E22">
            <v>1375</v>
          </cell>
          <cell r="F22">
            <v>1152</v>
          </cell>
          <cell r="G22">
            <v>1201</v>
          </cell>
          <cell r="H22">
            <v>1325</v>
          </cell>
          <cell r="I22">
            <v>1398</v>
          </cell>
        </row>
        <row r="23">
          <cell r="A23" t="str">
            <v>META</v>
          </cell>
          <cell r="B23">
            <v>1268</v>
          </cell>
          <cell r="C23">
            <v>1557</v>
          </cell>
          <cell r="D23">
            <v>1737</v>
          </cell>
          <cell r="E23">
            <v>1760</v>
          </cell>
          <cell r="F23">
            <v>1575</v>
          </cell>
          <cell r="G23">
            <v>1790</v>
          </cell>
          <cell r="H23">
            <v>1997</v>
          </cell>
          <cell r="I23">
            <v>2197</v>
          </cell>
        </row>
        <row r="24">
          <cell r="A24" t="str">
            <v>NARIÑO</v>
          </cell>
          <cell r="B24">
            <v>739</v>
          </cell>
          <cell r="C24">
            <v>756</v>
          </cell>
          <cell r="D24">
            <v>819</v>
          </cell>
          <cell r="E24">
            <v>792</v>
          </cell>
          <cell r="F24">
            <v>697</v>
          </cell>
          <cell r="G24">
            <v>743</v>
          </cell>
          <cell r="H24">
            <v>916</v>
          </cell>
          <cell r="I24">
            <v>965</v>
          </cell>
        </row>
        <row r="25">
          <cell r="A25" t="str">
            <v>NORTE DE SANTANDER</v>
          </cell>
          <cell r="B25">
            <v>1460</v>
          </cell>
          <cell r="C25">
            <v>1363</v>
          </cell>
          <cell r="D25">
            <v>1578</v>
          </cell>
          <cell r="E25">
            <v>1726</v>
          </cell>
          <cell r="F25">
            <v>1576</v>
          </cell>
          <cell r="G25">
            <v>1638</v>
          </cell>
          <cell r="H25">
            <v>2001</v>
          </cell>
          <cell r="I25">
            <v>2157</v>
          </cell>
        </row>
        <row r="26">
          <cell r="A26" t="str">
            <v>PUTUMAYO</v>
          </cell>
          <cell r="B26">
            <v>136</v>
          </cell>
          <cell r="C26">
            <v>154</v>
          </cell>
          <cell r="D26">
            <v>171</v>
          </cell>
          <cell r="E26">
            <v>181</v>
          </cell>
          <cell r="F26">
            <v>152</v>
          </cell>
          <cell r="G26">
            <v>131</v>
          </cell>
          <cell r="H26">
            <v>119</v>
          </cell>
          <cell r="I26">
            <v>196</v>
          </cell>
        </row>
        <row r="27">
          <cell r="A27" t="str">
            <v>QUINDÍO</v>
          </cell>
          <cell r="B27">
            <v>1196</v>
          </cell>
          <cell r="C27">
            <v>1193</v>
          </cell>
          <cell r="D27">
            <v>1381</v>
          </cell>
          <cell r="E27">
            <v>1160</v>
          </cell>
          <cell r="F27">
            <v>1079</v>
          </cell>
          <cell r="G27">
            <v>1252</v>
          </cell>
          <cell r="H27">
            <v>1343</v>
          </cell>
          <cell r="I27">
            <v>1412</v>
          </cell>
        </row>
        <row r="28">
          <cell r="A28" t="str">
            <v>RISARALDA</v>
          </cell>
          <cell r="B28">
            <v>2663</v>
          </cell>
          <cell r="C28">
            <v>3003</v>
          </cell>
          <cell r="D28">
            <v>3278</v>
          </cell>
          <cell r="E28">
            <v>2900</v>
          </cell>
          <cell r="F28">
            <v>2422</v>
          </cell>
          <cell r="G28">
            <v>2863</v>
          </cell>
          <cell r="H28">
            <v>3277</v>
          </cell>
          <cell r="I28">
            <v>3379</v>
          </cell>
        </row>
        <row r="29">
          <cell r="A29" t="str">
            <v>SANTANDER</v>
          </cell>
          <cell r="B29">
            <v>3174</v>
          </cell>
          <cell r="C29">
            <v>3359</v>
          </cell>
          <cell r="D29">
            <v>3700</v>
          </cell>
          <cell r="E29">
            <v>3387</v>
          </cell>
          <cell r="F29">
            <v>3620</v>
          </cell>
          <cell r="G29">
            <v>4069</v>
          </cell>
          <cell r="H29">
            <v>3806</v>
          </cell>
          <cell r="I29">
            <v>4215</v>
          </cell>
        </row>
        <row r="30">
          <cell r="A30" t="str">
            <v>SUCRE</v>
          </cell>
          <cell r="B30">
            <v>594</v>
          </cell>
          <cell r="C30">
            <v>820</v>
          </cell>
          <cell r="D30">
            <v>910</v>
          </cell>
          <cell r="E30">
            <v>910</v>
          </cell>
          <cell r="F30">
            <v>729</v>
          </cell>
          <cell r="G30">
            <v>865</v>
          </cell>
          <cell r="H30">
            <v>935</v>
          </cell>
          <cell r="I30">
            <v>981</v>
          </cell>
        </row>
        <row r="31">
          <cell r="A31" t="str">
            <v>TOLIMA</v>
          </cell>
          <cell r="B31">
            <v>2039</v>
          </cell>
          <cell r="C31">
            <v>2263</v>
          </cell>
          <cell r="D31">
            <v>2357</v>
          </cell>
          <cell r="E31">
            <v>2368</v>
          </cell>
          <cell r="F31">
            <v>2098</v>
          </cell>
          <cell r="G31">
            <v>2229</v>
          </cell>
          <cell r="H31">
            <v>2633</v>
          </cell>
          <cell r="I31">
            <v>2712</v>
          </cell>
        </row>
        <row r="32">
          <cell r="A32" t="str">
            <v>VALLE DEL CAUCA</v>
          </cell>
          <cell r="B32">
            <v>11036</v>
          </cell>
          <cell r="C32">
            <v>11532</v>
          </cell>
          <cell r="D32">
            <v>12360</v>
          </cell>
          <cell r="E32">
            <v>12186</v>
          </cell>
          <cell r="F32">
            <v>8239</v>
          </cell>
          <cell r="G32">
            <v>11208</v>
          </cell>
          <cell r="H32">
            <v>13170</v>
          </cell>
          <cell r="I32">
            <v>13120</v>
          </cell>
        </row>
        <row r="33">
          <cell r="A33" t="str">
            <v>VAUPÉS</v>
          </cell>
          <cell r="B33">
            <v>8</v>
          </cell>
          <cell r="C33">
            <v>7</v>
          </cell>
          <cell r="D33">
            <v>5</v>
          </cell>
          <cell r="E33">
            <v>6</v>
          </cell>
          <cell r="F33">
            <v>4</v>
          </cell>
          <cell r="G33">
            <v>4</v>
          </cell>
          <cell r="H33">
            <v>9</v>
          </cell>
          <cell r="I33">
            <v>25</v>
          </cell>
        </row>
        <row r="34">
          <cell r="A34" t="str">
            <v>VICHADA</v>
          </cell>
          <cell r="B34">
            <v>11</v>
          </cell>
          <cell r="C34">
            <v>24</v>
          </cell>
          <cell r="D34">
            <v>38</v>
          </cell>
          <cell r="E34">
            <v>38</v>
          </cell>
          <cell r="F34">
            <v>21</v>
          </cell>
          <cell r="G34">
            <v>19</v>
          </cell>
          <cell r="H34">
            <v>24</v>
          </cell>
          <cell r="I34">
            <v>19</v>
          </cell>
        </row>
      </sheetData>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 Generales"/>
      <sheetName val="II.Departamento"/>
      <sheetName val="III.R Contributivo"/>
      <sheetName val="IV.R Subsidiado"/>
      <sheetName val="V.Tasa Rc y Rs"/>
      <sheetName val="VI. R Adaptado Especial y Excpt"/>
      <sheetName val="VII. Emp Medicina Prep"/>
      <sheetName val="BD AFILIADOS BDUA HISTORICO"/>
    </sheetNames>
    <sheetDataSet>
      <sheetData sheetId="0">
        <row r="130">
          <cell r="C130" t="str">
            <v>RESTRICCION EN EL ACCESO A LOS SERVICIOS DE SALUD</v>
          </cell>
          <cell r="D130">
            <v>58693</v>
          </cell>
          <cell r="E130">
            <v>60631</v>
          </cell>
          <cell r="F130">
            <v>69748</v>
          </cell>
          <cell r="G130">
            <v>67861</v>
          </cell>
          <cell r="H130">
            <v>59259</v>
          </cell>
          <cell r="I130">
            <v>70032</v>
          </cell>
          <cell r="J130">
            <v>75826</v>
          </cell>
          <cell r="K130">
            <v>78588</v>
          </cell>
          <cell r="L130">
            <v>83210</v>
          </cell>
          <cell r="M130">
            <v>76208</v>
          </cell>
          <cell r="N130">
            <v>82580</v>
          </cell>
        </row>
        <row r="131">
          <cell r="C131" t="str">
            <v xml:space="preserve">INSATISFACCION DEL USUARIO CON EL PROCESO ADMINISTRATIVO </v>
          </cell>
          <cell r="D131">
            <v>5135</v>
          </cell>
          <cell r="E131">
            <v>5881</v>
          </cell>
          <cell r="F131">
            <v>6698</v>
          </cell>
          <cell r="G131">
            <v>6557</v>
          </cell>
          <cell r="H131">
            <v>5974</v>
          </cell>
          <cell r="I131">
            <v>5129</v>
          </cell>
          <cell r="J131">
            <v>5224</v>
          </cell>
          <cell r="K131">
            <v>5014</v>
          </cell>
          <cell r="L131">
            <v>4654</v>
          </cell>
          <cell r="M131">
            <v>4059</v>
          </cell>
          <cell r="N131">
            <v>4233</v>
          </cell>
        </row>
        <row r="132">
          <cell r="C132" t="str">
            <v>DEFICIENCIA EN LA EFECTIVIDAD DE LA ATENCION EN SALUD</v>
          </cell>
          <cell r="D132">
            <v>4793</v>
          </cell>
          <cell r="E132">
            <v>4493</v>
          </cell>
          <cell r="F132">
            <v>5132</v>
          </cell>
          <cell r="G132">
            <v>4613</v>
          </cell>
          <cell r="H132">
            <v>4355</v>
          </cell>
          <cell r="I132">
            <v>3666</v>
          </cell>
          <cell r="J132">
            <v>3393</v>
          </cell>
          <cell r="K132">
            <v>3354</v>
          </cell>
          <cell r="L132">
            <v>3824</v>
          </cell>
          <cell r="M132">
            <v>2808</v>
          </cell>
          <cell r="N132">
            <v>3375</v>
          </cell>
        </row>
        <row r="133">
          <cell r="C133" t="str">
            <v>NO RECONOCIMIENTO DE LAS PRESTACIONES ECONOMICAS</v>
          </cell>
          <cell r="D133">
            <v>3739</v>
          </cell>
          <cell r="E133">
            <v>6335</v>
          </cell>
          <cell r="F133">
            <v>2989</v>
          </cell>
          <cell r="G133">
            <v>2492</v>
          </cell>
          <cell r="H133">
            <v>2390</v>
          </cell>
          <cell r="I133">
            <v>2602</v>
          </cell>
          <cell r="J133">
            <v>2961</v>
          </cell>
          <cell r="K133">
            <v>3247</v>
          </cell>
          <cell r="L133">
            <v>3025</v>
          </cell>
          <cell r="M133">
            <v>2470</v>
          </cell>
          <cell r="N133">
            <v>2752</v>
          </cell>
        </row>
        <row r="134">
          <cell r="C134" t="str">
            <v>PETICIONES, QUEJAS Y RECLAMOS INTERPUESTAS POR IPS-EPS, ENTIDADES TERRITORIALES Y ORGANISMOS DE CONTROL Y VIGILANCIA</v>
          </cell>
          <cell r="D134">
            <v>345</v>
          </cell>
          <cell r="E134">
            <v>294</v>
          </cell>
          <cell r="F134">
            <v>362</v>
          </cell>
          <cell r="G134">
            <v>315</v>
          </cell>
          <cell r="H134">
            <v>288</v>
          </cell>
          <cell r="I134">
            <v>273</v>
          </cell>
          <cell r="J134">
            <v>274</v>
          </cell>
          <cell r="K134">
            <v>326</v>
          </cell>
          <cell r="L134">
            <v>290</v>
          </cell>
          <cell r="M134">
            <v>217</v>
          </cell>
          <cell r="N134">
            <v>301</v>
          </cell>
        </row>
        <row r="135">
          <cell r="C135" t="str">
            <v>FALTA DE DISPONIBILIDAD O INAPROPIADO MANEJO DEL RECURSOS HUMANO Y FISICO PARA LA ATENCION</v>
          </cell>
          <cell r="D135">
            <v>89</v>
          </cell>
          <cell r="E135">
            <v>123</v>
          </cell>
          <cell r="F135">
            <v>164</v>
          </cell>
          <cell r="G135">
            <v>142</v>
          </cell>
          <cell r="H135">
            <v>119</v>
          </cell>
          <cell r="I135">
            <v>115</v>
          </cell>
          <cell r="J135">
            <v>101</v>
          </cell>
          <cell r="K135">
            <v>134</v>
          </cell>
          <cell r="L135">
            <v>121</v>
          </cell>
          <cell r="M135">
            <v>109</v>
          </cell>
          <cell r="N135">
            <v>115</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31"/>
  <sheetViews>
    <sheetView showGridLines="0" tabSelected="1" topLeftCell="C1" zoomScale="73" zoomScaleNormal="73" zoomScaleSheetLayoutView="100" zoomScalePageLayoutView="220" workbookViewId="0">
      <selection activeCell="S16" sqref="S16"/>
    </sheetView>
  </sheetViews>
  <sheetFormatPr baseColWidth="10" defaultColWidth="11.42578125" defaultRowHeight="15" x14ac:dyDescent="0.25"/>
  <cols>
    <col min="1" max="1" width="15.85546875" style="27" hidden="1" customWidth="1"/>
    <col min="2" max="2" width="17.140625" style="1" hidden="1" customWidth="1"/>
    <col min="3" max="3" width="36.85546875" style="1" customWidth="1"/>
    <col min="4" max="4" width="14" style="2" customWidth="1"/>
    <col min="5" max="8" width="12.140625" style="2" bestFit="1" customWidth="1"/>
    <col min="9" max="9" width="12" style="2" customWidth="1"/>
    <col min="10" max="10" width="12.140625" style="2" customWidth="1"/>
    <col min="11" max="11" width="12.140625" style="2" bestFit="1" customWidth="1"/>
    <col min="12" max="12" width="12.140625" style="2" customWidth="1"/>
    <col min="13" max="13" width="12.140625" style="2" bestFit="1" customWidth="1"/>
    <col min="14" max="14" width="13" style="2" customWidth="1"/>
    <col min="15" max="15" width="16.28515625" style="2" customWidth="1"/>
    <col min="16" max="16" width="21.140625" style="2" customWidth="1"/>
    <col min="17" max="17" width="18.28515625" style="3" customWidth="1"/>
    <col min="18" max="18" width="18.7109375" style="2" customWidth="1"/>
    <col min="19" max="19" width="33.42578125" style="1" customWidth="1"/>
    <col min="20" max="22" width="12.28515625" style="1" bestFit="1" customWidth="1"/>
    <col min="23" max="16384" width="11.42578125" style="1"/>
  </cols>
  <sheetData>
    <row r="1" spans="1:18" ht="15.75" x14ac:dyDescent="0.25">
      <c r="A1" s="156" t="s">
        <v>153</v>
      </c>
      <c r="B1" s="157"/>
      <c r="C1" s="158" t="s">
        <v>154</v>
      </c>
      <c r="D1" s="158"/>
      <c r="E1" s="158"/>
      <c r="F1" s="158"/>
      <c r="G1" s="158"/>
      <c r="H1" s="158"/>
      <c r="I1" s="158"/>
      <c r="J1" s="158"/>
      <c r="K1" s="158"/>
      <c r="L1" s="158"/>
      <c r="M1" s="158"/>
      <c r="N1" s="158"/>
      <c r="O1" s="158"/>
      <c r="P1" s="158"/>
      <c r="Q1" s="158"/>
      <c r="R1" s="158"/>
    </row>
    <row r="2" spans="1:18" ht="16.5" thickBot="1" x14ac:dyDescent="0.3">
      <c r="A2" s="28" t="s">
        <v>155</v>
      </c>
      <c r="B2" s="29"/>
      <c r="C2" s="158" t="s">
        <v>1028</v>
      </c>
      <c r="D2" s="158"/>
      <c r="E2" s="158"/>
      <c r="F2" s="158"/>
      <c r="G2" s="158"/>
      <c r="H2" s="158"/>
      <c r="I2" s="158"/>
      <c r="J2" s="158"/>
      <c r="K2" s="158"/>
      <c r="L2" s="158"/>
      <c r="M2" s="158"/>
      <c r="N2" s="158"/>
      <c r="O2" s="158"/>
      <c r="P2" s="158"/>
      <c r="Q2" s="158"/>
      <c r="R2" s="158"/>
    </row>
    <row r="3" spans="1:18" x14ac:dyDescent="0.25">
      <c r="A3" s="30"/>
    </row>
    <row r="4" spans="1:18" x14ac:dyDescent="0.25">
      <c r="A4" s="30"/>
    </row>
    <row r="5" spans="1:18" x14ac:dyDescent="0.25">
      <c r="A5" s="30"/>
    </row>
    <row r="6" spans="1:18" s="7" customFormat="1" ht="14.25" customHeight="1" x14ac:dyDescent="0.25">
      <c r="A6" s="31"/>
      <c r="B6" s="1"/>
      <c r="C6" s="4" t="s">
        <v>0</v>
      </c>
      <c r="D6" s="5"/>
      <c r="E6" s="5"/>
      <c r="F6" s="5"/>
      <c r="G6" s="5"/>
      <c r="H6" s="5"/>
      <c r="I6" s="5"/>
      <c r="J6" s="5"/>
      <c r="K6" s="5"/>
      <c r="L6" s="5"/>
      <c r="M6" s="5"/>
      <c r="N6" s="5"/>
      <c r="O6" s="5"/>
      <c r="P6" s="5"/>
      <c r="Q6" s="6"/>
      <c r="R6" s="5"/>
    </row>
    <row r="7" spans="1:18" s="7" customFormat="1" ht="14.25" customHeight="1" x14ac:dyDescent="0.25">
      <c r="A7" s="31"/>
      <c r="D7" s="5"/>
      <c r="E7" s="5"/>
      <c r="F7" s="5"/>
      <c r="G7" s="5"/>
      <c r="H7" s="5"/>
      <c r="I7" s="5"/>
      <c r="J7" s="5"/>
      <c r="K7" s="5"/>
      <c r="L7" s="5"/>
      <c r="M7" s="5"/>
      <c r="N7" s="5"/>
      <c r="O7" s="5"/>
      <c r="P7" s="5"/>
      <c r="Q7" s="6"/>
      <c r="R7" s="5"/>
    </row>
    <row r="8" spans="1:18" s="7" customFormat="1" ht="14.25" customHeight="1" thickBot="1" x14ac:dyDescent="0.3">
      <c r="A8" s="31"/>
      <c r="D8" s="5"/>
      <c r="E8" s="5"/>
      <c r="F8" s="5"/>
      <c r="G8" s="5"/>
      <c r="H8" s="5"/>
      <c r="I8" s="5"/>
      <c r="J8" s="5"/>
      <c r="K8" s="5"/>
      <c r="L8" s="5"/>
      <c r="M8" s="5"/>
      <c r="N8" s="5"/>
      <c r="O8" s="5"/>
      <c r="P8" s="5"/>
      <c r="Q8" s="6"/>
      <c r="R8" s="5"/>
    </row>
    <row r="9" spans="1:18" ht="16.5" thickBot="1" x14ac:dyDescent="0.3">
      <c r="B9" s="32"/>
      <c r="C9" s="47" t="s">
        <v>1</v>
      </c>
      <c r="D9" s="48" t="s">
        <v>2</v>
      </c>
      <c r="E9" s="48" t="s">
        <v>3</v>
      </c>
      <c r="F9" s="48" t="s">
        <v>4</v>
      </c>
      <c r="G9" s="48" t="s">
        <v>5</v>
      </c>
      <c r="H9" s="48" t="s">
        <v>6</v>
      </c>
      <c r="I9" s="48" t="s">
        <v>7</v>
      </c>
      <c r="J9" s="48" t="s">
        <v>8</v>
      </c>
      <c r="K9" s="48" t="s">
        <v>9</v>
      </c>
      <c r="L9" s="48" t="s">
        <v>10</v>
      </c>
      <c r="M9" s="48" t="s">
        <v>11</v>
      </c>
      <c r="N9" s="48" t="s">
        <v>12</v>
      </c>
      <c r="O9" s="48" t="s">
        <v>13</v>
      </c>
      <c r="P9" s="49" t="s">
        <v>677</v>
      </c>
      <c r="Q9" s="8"/>
    </row>
    <row r="10" spans="1:18" ht="30.75" thickBot="1" x14ac:dyDescent="0.3">
      <c r="B10" s="27"/>
      <c r="C10" s="44" t="s">
        <v>685</v>
      </c>
      <c r="D10" s="45">
        <v>72794</v>
      </c>
      <c r="E10" s="77">
        <v>77757</v>
      </c>
      <c r="F10" s="77">
        <v>85093</v>
      </c>
      <c r="G10" s="77">
        <v>81980</v>
      </c>
      <c r="H10" s="77">
        <v>72385</v>
      </c>
      <c r="I10" s="77">
        <v>81817</v>
      </c>
      <c r="J10" s="88">
        <v>87779</v>
      </c>
      <c r="K10" s="88">
        <v>90663</v>
      </c>
      <c r="L10" s="77">
        <v>95124</v>
      </c>
      <c r="M10" s="77">
        <v>85871</v>
      </c>
      <c r="N10" s="77">
        <v>93356</v>
      </c>
      <c r="O10" s="77">
        <v>72114</v>
      </c>
      <c r="P10" s="45">
        <f>SUM(D10:O10)</f>
        <v>996733</v>
      </c>
      <c r="Q10" s="8"/>
    </row>
    <row r="11" spans="1:18" ht="15.75" thickBot="1" x14ac:dyDescent="0.3">
      <c r="B11" s="27"/>
      <c r="C11" s="44" t="s">
        <v>14</v>
      </c>
      <c r="D11" s="45">
        <v>103479</v>
      </c>
      <c r="E11" s="77">
        <v>102699</v>
      </c>
      <c r="F11" s="77">
        <v>124211</v>
      </c>
      <c r="G11" s="77">
        <v>124968</v>
      </c>
      <c r="H11" s="77">
        <v>118796</v>
      </c>
      <c r="I11" s="77">
        <v>130479</v>
      </c>
      <c r="J11" s="88">
        <v>115725</v>
      </c>
      <c r="K11" s="88">
        <v>121166</v>
      </c>
      <c r="L11" s="77">
        <v>120977</v>
      </c>
      <c r="M11" s="132">
        <v>101777</v>
      </c>
      <c r="N11" s="77">
        <v>119061</v>
      </c>
      <c r="O11" s="77">
        <v>92867</v>
      </c>
      <c r="P11" s="45">
        <f>SUM(D11:O11)</f>
        <v>1376205</v>
      </c>
      <c r="Q11" s="8"/>
    </row>
    <row r="12" spans="1:18" ht="15.75" thickBot="1" x14ac:dyDescent="0.3">
      <c r="B12" s="27"/>
      <c r="C12" s="47" t="s">
        <v>15</v>
      </c>
      <c r="D12" s="94">
        <f t="shared" ref="D12:P12" si="0">SUM(D10:D11)</f>
        <v>176273</v>
      </c>
      <c r="E12" s="94">
        <f t="shared" si="0"/>
        <v>180456</v>
      </c>
      <c r="F12" s="94">
        <f t="shared" si="0"/>
        <v>209304</v>
      </c>
      <c r="G12" s="94">
        <f t="shared" si="0"/>
        <v>206948</v>
      </c>
      <c r="H12" s="94">
        <f t="shared" si="0"/>
        <v>191181</v>
      </c>
      <c r="I12" s="94">
        <f t="shared" si="0"/>
        <v>212296</v>
      </c>
      <c r="J12" s="94">
        <f>SUM(J10:J11)</f>
        <v>203504</v>
      </c>
      <c r="K12" s="94">
        <f>SUM(K10:K11)</f>
        <v>211829</v>
      </c>
      <c r="L12" s="94">
        <f>SUM(L10:L11)</f>
        <v>216101</v>
      </c>
      <c r="M12" s="94">
        <f t="shared" si="0"/>
        <v>187648</v>
      </c>
      <c r="N12" s="94">
        <f t="shared" si="0"/>
        <v>212417</v>
      </c>
      <c r="O12" s="94">
        <f t="shared" si="0"/>
        <v>164981</v>
      </c>
      <c r="P12" s="94">
        <f t="shared" si="0"/>
        <v>2372938</v>
      </c>
      <c r="Q12" s="8"/>
    </row>
    <row r="13" spans="1:18" x14ac:dyDescent="0.25">
      <c r="B13" s="27"/>
      <c r="C13" s="151" t="s">
        <v>16</v>
      </c>
      <c r="D13" s="151"/>
      <c r="E13" s="151"/>
      <c r="F13" s="151"/>
      <c r="G13" s="151"/>
      <c r="H13" s="151"/>
      <c r="I13" s="151"/>
      <c r="J13" s="151"/>
      <c r="K13" s="151"/>
      <c r="L13" s="151"/>
      <c r="M13" s="151"/>
      <c r="N13" s="151"/>
      <c r="O13" s="151"/>
      <c r="P13" s="151"/>
    </row>
    <row r="14" spans="1:18" x14ac:dyDescent="0.25">
      <c r="B14" s="27"/>
      <c r="C14" s="151" t="s">
        <v>17</v>
      </c>
      <c r="D14" s="151"/>
      <c r="E14" s="151"/>
      <c r="F14" s="151"/>
      <c r="G14" s="151"/>
      <c r="H14" s="151"/>
      <c r="I14" s="151"/>
      <c r="J14" s="151"/>
      <c r="K14" s="151"/>
      <c r="L14" s="151"/>
      <c r="M14" s="151"/>
      <c r="N14" s="151"/>
      <c r="O14" s="151"/>
      <c r="P14" s="151"/>
    </row>
    <row r="15" spans="1:18" x14ac:dyDescent="0.25">
      <c r="B15" s="27"/>
      <c r="C15" s="151" t="s">
        <v>1029</v>
      </c>
      <c r="D15" s="151"/>
      <c r="E15" s="151"/>
      <c r="F15" s="151"/>
      <c r="G15" s="151"/>
      <c r="H15" s="151"/>
      <c r="I15" s="151"/>
      <c r="J15" s="151"/>
      <c r="K15" s="151"/>
      <c r="L15" s="151"/>
      <c r="M15" s="151"/>
      <c r="N15" s="151"/>
      <c r="O15" s="151"/>
      <c r="P15" s="151"/>
    </row>
    <row r="16" spans="1:18" x14ac:dyDescent="0.25">
      <c r="B16" s="27"/>
      <c r="C16" s="9"/>
    </row>
    <row r="17" spans="1:17" x14ac:dyDescent="0.25">
      <c r="B17" s="27"/>
      <c r="C17" s="9"/>
    </row>
    <row r="18" spans="1:17" ht="15.75" x14ac:dyDescent="0.25">
      <c r="C18" s="4" t="s">
        <v>18</v>
      </c>
    </row>
    <row r="20" spans="1:17" ht="15.75" thickBot="1" x14ac:dyDescent="0.3"/>
    <row r="21" spans="1:17" ht="16.5" thickBot="1" x14ac:dyDescent="0.3">
      <c r="A21" s="32"/>
      <c r="B21" s="32"/>
      <c r="C21" s="47" t="s">
        <v>19</v>
      </c>
      <c r="D21" s="48" t="s">
        <v>2</v>
      </c>
      <c r="E21" s="48" t="s">
        <v>3</v>
      </c>
      <c r="F21" s="48" t="s">
        <v>4</v>
      </c>
      <c r="G21" s="48" t="s">
        <v>5</v>
      </c>
      <c r="H21" s="48" t="s">
        <v>6</v>
      </c>
      <c r="I21" s="48" t="s">
        <v>7</v>
      </c>
      <c r="J21" s="48" t="s">
        <v>8</v>
      </c>
      <c r="K21" s="48" t="s">
        <v>9</v>
      </c>
      <c r="L21" s="48" t="s">
        <v>10</v>
      </c>
      <c r="M21" s="48" t="s">
        <v>11</v>
      </c>
      <c r="N21" s="48" t="s">
        <v>12</v>
      </c>
      <c r="O21" s="48" t="s">
        <v>13</v>
      </c>
      <c r="P21" s="49" t="str">
        <f>P9</f>
        <v>TOTAL AÑO 2.021</v>
      </c>
    </row>
    <row r="22" spans="1:17" ht="15.75" thickBot="1" x14ac:dyDescent="0.3">
      <c r="C22" s="44" t="s">
        <v>20</v>
      </c>
      <c r="D22" s="51">
        <v>35783</v>
      </c>
      <c r="E22" s="78">
        <v>46671</v>
      </c>
      <c r="F22" s="78">
        <v>50657</v>
      </c>
      <c r="G22" s="78">
        <v>45596</v>
      </c>
      <c r="H22" s="78">
        <v>40635</v>
      </c>
      <c r="I22" s="78">
        <v>43632</v>
      </c>
      <c r="J22" s="88">
        <v>52160</v>
      </c>
      <c r="K22" s="88">
        <v>56796</v>
      </c>
      <c r="L22" s="78">
        <v>59839</v>
      </c>
      <c r="M22" s="78">
        <v>54105</v>
      </c>
      <c r="N22" s="78">
        <v>58643</v>
      </c>
      <c r="O22" s="77">
        <v>44936</v>
      </c>
      <c r="P22" s="51">
        <f>SUM(D22:O22)</f>
        <v>589453</v>
      </c>
    </row>
    <row r="23" spans="1:17" ht="15.75" thickBot="1" x14ac:dyDescent="0.3">
      <c r="C23" s="44" t="s">
        <v>21</v>
      </c>
      <c r="D23" s="51">
        <v>37011</v>
      </c>
      <c r="E23" s="78">
        <v>31086</v>
      </c>
      <c r="F23" s="78">
        <v>34436</v>
      </c>
      <c r="G23" s="78">
        <v>36384</v>
      </c>
      <c r="H23" s="78">
        <v>31750</v>
      </c>
      <c r="I23" s="78">
        <v>38185</v>
      </c>
      <c r="J23" s="88">
        <v>35619</v>
      </c>
      <c r="K23" s="88">
        <v>33867</v>
      </c>
      <c r="L23" s="78">
        <v>35285</v>
      </c>
      <c r="M23" s="78">
        <v>31766</v>
      </c>
      <c r="N23" s="78">
        <v>34713</v>
      </c>
      <c r="O23" s="77">
        <v>27178</v>
      </c>
      <c r="P23" s="51">
        <f>SUM(D23:O23)</f>
        <v>407280</v>
      </c>
    </row>
    <row r="24" spans="1:17" ht="15.75" thickBot="1" x14ac:dyDescent="0.3">
      <c r="C24" s="47" t="s">
        <v>15</v>
      </c>
      <c r="D24" s="94">
        <f t="shared" ref="D24:P24" si="1">SUM(D22:D23)</f>
        <v>72794</v>
      </c>
      <c r="E24" s="94">
        <f t="shared" si="1"/>
        <v>77757</v>
      </c>
      <c r="F24" s="94">
        <f t="shared" si="1"/>
        <v>85093</v>
      </c>
      <c r="G24" s="94">
        <f t="shared" si="1"/>
        <v>81980</v>
      </c>
      <c r="H24" s="94">
        <f t="shared" si="1"/>
        <v>72385</v>
      </c>
      <c r="I24" s="94">
        <f t="shared" si="1"/>
        <v>81817</v>
      </c>
      <c r="J24" s="94">
        <f t="shared" si="1"/>
        <v>87779</v>
      </c>
      <c r="K24" s="94">
        <f t="shared" si="1"/>
        <v>90663</v>
      </c>
      <c r="L24" s="94">
        <f t="shared" si="1"/>
        <v>95124</v>
      </c>
      <c r="M24" s="94">
        <f t="shared" si="1"/>
        <v>85871</v>
      </c>
      <c r="N24" s="94">
        <f t="shared" si="1"/>
        <v>93356</v>
      </c>
      <c r="O24" s="94">
        <f t="shared" si="1"/>
        <v>72114</v>
      </c>
      <c r="P24" s="94">
        <f t="shared" si="1"/>
        <v>996733</v>
      </c>
    </row>
    <row r="25" spans="1:17" x14ac:dyDescent="0.25">
      <c r="C25" s="151" t="s">
        <v>22</v>
      </c>
      <c r="D25" s="151"/>
      <c r="E25" s="151"/>
      <c r="F25" s="151"/>
      <c r="G25" s="151"/>
      <c r="H25" s="151"/>
      <c r="I25" s="151"/>
      <c r="J25" s="151"/>
      <c r="K25" s="151"/>
      <c r="L25" s="151"/>
      <c r="M25" s="151"/>
      <c r="N25" s="151"/>
      <c r="O25" s="151"/>
      <c r="P25" s="151"/>
    </row>
    <row r="26" spans="1:17" x14ac:dyDescent="0.25">
      <c r="C26" s="151" t="str">
        <f>C15</f>
        <v>FUENTE: BASE DE DATOS SNS AÑO 2.021 (ENERO-DICIEMBRE)</v>
      </c>
      <c r="D26" s="151"/>
      <c r="E26" s="151"/>
      <c r="F26" s="151"/>
      <c r="G26" s="151"/>
      <c r="H26" s="151"/>
      <c r="I26" s="151"/>
      <c r="J26" s="151"/>
      <c r="K26" s="151"/>
      <c r="L26" s="151"/>
      <c r="M26" s="151"/>
      <c r="N26" s="151"/>
      <c r="O26" s="151"/>
      <c r="P26" s="151"/>
    </row>
    <row r="29" spans="1:17" ht="15.75" x14ac:dyDescent="0.25">
      <c r="C29" s="4" t="s">
        <v>23</v>
      </c>
    </row>
    <row r="30" spans="1:17" x14ac:dyDescent="0.25">
      <c r="D30" s="10"/>
      <c r="E30" s="10"/>
      <c r="F30" s="10"/>
      <c r="G30" s="10"/>
      <c r="H30" s="10"/>
      <c r="I30" s="10"/>
      <c r="J30" s="10"/>
      <c r="K30" s="10"/>
      <c r="L30" s="10"/>
      <c r="M30" s="10"/>
      <c r="N30" s="10"/>
      <c r="O30" s="10"/>
    </row>
    <row r="31" spans="1:17" ht="15.75" thickBot="1" x14ac:dyDescent="0.3">
      <c r="D31" s="10"/>
      <c r="E31" s="10"/>
      <c r="F31" s="10"/>
      <c r="G31" s="10"/>
      <c r="H31" s="10"/>
      <c r="I31" s="10"/>
      <c r="J31" s="10"/>
      <c r="K31" s="10"/>
      <c r="L31" s="10"/>
      <c r="M31" s="10"/>
      <c r="N31" s="10"/>
      <c r="O31" s="10"/>
    </row>
    <row r="32" spans="1:17" ht="15.75" thickBot="1" x14ac:dyDescent="0.3">
      <c r="A32" s="1"/>
      <c r="C32" s="162" t="s">
        <v>24</v>
      </c>
      <c r="D32" s="163"/>
      <c r="E32" s="163"/>
      <c r="F32" s="163"/>
      <c r="G32" s="163"/>
      <c r="H32" s="163"/>
      <c r="I32" s="163"/>
      <c r="J32" s="163"/>
      <c r="K32" s="163"/>
      <c r="L32" s="163"/>
      <c r="M32" s="163"/>
      <c r="N32" s="163"/>
      <c r="O32" s="163"/>
      <c r="P32" s="163"/>
      <c r="Q32" s="164"/>
    </row>
    <row r="33" spans="2:17" ht="15.75" thickBot="1" x14ac:dyDescent="0.3">
      <c r="C33" s="47" t="s">
        <v>25</v>
      </c>
      <c r="D33" s="48" t="s">
        <v>2</v>
      </c>
      <c r="E33" s="48" t="s">
        <v>3</v>
      </c>
      <c r="F33" s="48" t="s">
        <v>4</v>
      </c>
      <c r="G33" s="48" t="s">
        <v>5</v>
      </c>
      <c r="H33" s="48" t="s">
        <v>6</v>
      </c>
      <c r="I33" s="48" t="s">
        <v>7</v>
      </c>
      <c r="J33" s="48" t="s">
        <v>8</v>
      </c>
      <c r="K33" s="48" t="s">
        <v>9</v>
      </c>
      <c r="L33" s="48" t="s">
        <v>10</v>
      </c>
      <c r="M33" s="48" t="s">
        <v>11</v>
      </c>
      <c r="N33" s="48" t="s">
        <v>12</v>
      </c>
      <c r="O33" s="48" t="s">
        <v>13</v>
      </c>
      <c r="P33" s="49" t="s">
        <v>727</v>
      </c>
      <c r="Q33" s="53" t="s">
        <v>26</v>
      </c>
    </row>
    <row r="34" spans="2:17" ht="15.75" thickBot="1" x14ac:dyDescent="0.3">
      <c r="B34" s="1" t="s">
        <v>28</v>
      </c>
      <c r="C34" s="52" t="s">
        <v>28</v>
      </c>
      <c r="D34" s="45">
        <v>97658</v>
      </c>
      <c r="E34" s="77">
        <v>99205</v>
      </c>
      <c r="F34" s="77">
        <v>117153</v>
      </c>
      <c r="G34" s="77">
        <v>116284</v>
      </c>
      <c r="H34" s="77">
        <f>+VLOOKUP(B34,'[1]I. Generales'!$C$56:$H$61,6,0)</f>
        <v>112279</v>
      </c>
      <c r="I34" s="77">
        <v>118978</v>
      </c>
      <c r="J34" s="89">
        <v>108336</v>
      </c>
      <c r="K34" s="89">
        <v>118659</v>
      </c>
      <c r="L34" s="77">
        <v>124163</v>
      </c>
      <c r="M34" s="77">
        <v>92546</v>
      </c>
      <c r="N34" s="77">
        <v>110338</v>
      </c>
      <c r="O34" s="77">
        <v>94329</v>
      </c>
      <c r="P34" s="45">
        <f t="shared" ref="P34:P39" si="2">SUM(D34:O34)</f>
        <v>1309928</v>
      </c>
      <c r="Q34" s="54">
        <f t="shared" ref="Q34:Q39" si="3">P34/$P$40</f>
        <v>0.55202790801950996</v>
      </c>
    </row>
    <row r="35" spans="2:17" ht="15.75" thickBot="1" x14ac:dyDescent="0.3">
      <c r="B35" s="1" t="s">
        <v>673</v>
      </c>
      <c r="C35" s="52" t="s">
        <v>27</v>
      </c>
      <c r="D35" s="45">
        <v>37961</v>
      </c>
      <c r="E35" s="77">
        <v>38176</v>
      </c>
      <c r="F35" s="77">
        <v>38545</v>
      </c>
      <c r="G35" s="77">
        <v>40176</v>
      </c>
      <c r="H35" s="77">
        <f>+VLOOKUP(B35,'[1]I. Generales'!$C$56:$H$61,6,0)</f>
        <v>31933</v>
      </c>
      <c r="I35" s="77">
        <v>35099</v>
      </c>
      <c r="J35" s="89">
        <v>39064</v>
      </c>
      <c r="K35" s="89">
        <v>37008</v>
      </c>
      <c r="L35" s="77">
        <v>38776</v>
      </c>
      <c r="M35" s="77">
        <v>43738</v>
      </c>
      <c r="N35" s="77">
        <v>44033</v>
      </c>
      <c r="O35" s="77">
        <v>32964</v>
      </c>
      <c r="P35" s="45">
        <f t="shared" si="2"/>
        <v>457473</v>
      </c>
      <c r="Q35" s="54">
        <f t="shared" si="3"/>
        <v>0.19278759074194099</v>
      </c>
    </row>
    <row r="36" spans="2:17" ht="15.75" thickBot="1" x14ac:dyDescent="0.3">
      <c r="B36" s="1" t="s">
        <v>31</v>
      </c>
      <c r="C36" s="52" t="s">
        <v>31</v>
      </c>
      <c r="D36" s="45">
        <v>26725</v>
      </c>
      <c r="E36" s="77">
        <v>26345</v>
      </c>
      <c r="F36" s="77">
        <v>29128</v>
      </c>
      <c r="G36" s="77">
        <v>28771</v>
      </c>
      <c r="H36" s="77">
        <f>+VLOOKUP(B36,'[1]I. Generales'!$C$56:$H$61,6,0)</f>
        <v>25379</v>
      </c>
      <c r="I36" s="77">
        <v>33701</v>
      </c>
      <c r="J36" s="89">
        <v>28347</v>
      </c>
      <c r="K36" s="89">
        <v>26088</v>
      </c>
      <c r="L36" s="77">
        <v>21997</v>
      </c>
      <c r="M36" s="77">
        <v>21359</v>
      </c>
      <c r="N36" s="77">
        <v>22888</v>
      </c>
      <c r="O36" s="77">
        <v>10899</v>
      </c>
      <c r="P36" s="45">
        <f t="shared" si="2"/>
        <v>301627</v>
      </c>
      <c r="Q36" s="54">
        <f t="shared" si="3"/>
        <v>0.12711120138832113</v>
      </c>
    </row>
    <row r="37" spans="2:17" ht="15.75" thickBot="1" x14ac:dyDescent="0.3">
      <c r="B37" s="1" t="s">
        <v>674</v>
      </c>
      <c r="C37" s="52" t="s">
        <v>29</v>
      </c>
      <c r="D37" s="45">
        <v>6534</v>
      </c>
      <c r="E37" s="77">
        <v>8927</v>
      </c>
      <c r="F37" s="77">
        <v>12456</v>
      </c>
      <c r="G37" s="77">
        <v>11584</v>
      </c>
      <c r="H37" s="77">
        <f>+VLOOKUP(B37,'[1]I. Generales'!$C$56:$H$61,6,0)</f>
        <v>9669</v>
      </c>
      <c r="I37" s="77">
        <v>13646</v>
      </c>
      <c r="J37" s="89">
        <v>14248</v>
      </c>
      <c r="K37" s="89">
        <v>17295</v>
      </c>
      <c r="L37" s="77">
        <v>19418</v>
      </c>
      <c r="M37" s="77">
        <v>19800</v>
      </c>
      <c r="N37" s="77">
        <v>21315</v>
      </c>
      <c r="O37" s="77">
        <v>17305</v>
      </c>
      <c r="P37" s="45">
        <f t="shared" si="2"/>
        <v>172197</v>
      </c>
      <c r="Q37" s="54">
        <f t="shared" si="3"/>
        <v>7.2567003436246544E-2</v>
      </c>
    </row>
    <row r="38" spans="2:17" ht="15.75" thickBot="1" x14ac:dyDescent="0.3">
      <c r="B38" s="1" t="s">
        <v>30</v>
      </c>
      <c r="C38" s="52" t="s">
        <v>30</v>
      </c>
      <c r="D38" s="45">
        <v>5167</v>
      </c>
      <c r="E38" s="77">
        <v>6168</v>
      </c>
      <c r="F38" s="77">
        <v>10192</v>
      </c>
      <c r="G38" s="77">
        <v>8053</v>
      </c>
      <c r="H38" s="77">
        <f>+VLOOKUP(B38,'[1]I. Generales'!$C$56:$H$61,6,0)</f>
        <v>10210</v>
      </c>
      <c r="I38" s="77">
        <v>8478</v>
      </c>
      <c r="J38" s="89">
        <v>11221</v>
      </c>
      <c r="K38" s="89">
        <v>10949</v>
      </c>
      <c r="L38" s="77">
        <v>10110</v>
      </c>
      <c r="M38" s="77">
        <v>8495</v>
      </c>
      <c r="N38" s="77">
        <v>11937</v>
      </c>
      <c r="O38" s="77">
        <v>7842</v>
      </c>
      <c r="P38" s="45">
        <f t="shared" si="2"/>
        <v>108822</v>
      </c>
      <c r="Q38" s="54">
        <f t="shared" si="3"/>
        <v>4.5859605265708585E-2</v>
      </c>
    </row>
    <row r="39" spans="2:17" ht="15.75" thickBot="1" x14ac:dyDescent="0.3">
      <c r="B39" s="1" t="s">
        <v>675</v>
      </c>
      <c r="C39" s="52" t="s">
        <v>32</v>
      </c>
      <c r="D39" s="45">
        <v>2228</v>
      </c>
      <c r="E39" s="77">
        <v>1635</v>
      </c>
      <c r="F39" s="77">
        <v>1830</v>
      </c>
      <c r="G39" s="77">
        <v>2080</v>
      </c>
      <c r="H39" s="77">
        <f>+VLOOKUP(B39,'[1]I. Generales'!$C$56:$H$61,6,0)</f>
        <v>1711</v>
      </c>
      <c r="I39" s="77">
        <v>2394</v>
      </c>
      <c r="J39" s="89">
        <v>2288</v>
      </c>
      <c r="K39" s="89">
        <v>1830</v>
      </c>
      <c r="L39" s="77">
        <v>1637</v>
      </c>
      <c r="M39" s="77">
        <v>1710</v>
      </c>
      <c r="N39" s="77">
        <v>1906</v>
      </c>
      <c r="O39" s="77">
        <v>1642</v>
      </c>
      <c r="P39" s="45">
        <f t="shared" si="2"/>
        <v>22891</v>
      </c>
      <c r="Q39" s="54">
        <f t="shared" si="3"/>
        <v>9.6466911482727315E-3</v>
      </c>
    </row>
    <row r="40" spans="2:17" ht="15.75" thickBot="1" x14ac:dyDescent="0.3">
      <c r="C40" s="47" t="s">
        <v>15</v>
      </c>
      <c r="D40" s="94">
        <f>SUM(D34:D39)</f>
        <v>176273</v>
      </c>
      <c r="E40" s="94">
        <f t="shared" ref="E40:Q40" si="4">SUM(E34:E39)</f>
        <v>180456</v>
      </c>
      <c r="F40" s="94">
        <f t="shared" si="4"/>
        <v>209304</v>
      </c>
      <c r="G40" s="94">
        <f t="shared" si="4"/>
        <v>206948</v>
      </c>
      <c r="H40" s="94">
        <f t="shared" si="4"/>
        <v>191181</v>
      </c>
      <c r="I40" s="94">
        <f t="shared" si="4"/>
        <v>212296</v>
      </c>
      <c r="J40" s="94">
        <f t="shared" si="4"/>
        <v>203504</v>
      </c>
      <c r="K40" s="94">
        <f t="shared" si="4"/>
        <v>211829</v>
      </c>
      <c r="L40" s="94">
        <f t="shared" si="4"/>
        <v>216101</v>
      </c>
      <c r="M40" s="94">
        <f t="shared" si="4"/>
        <v>187648</v>
      </c>
      <c r="N40" s="94">
        <f>SUM(N34:N39)</f>
        <v>212417</v>
      </c>
      <c r="O40" s="94">
        <f t="shared" si="4"/>
        <v>164981</v>
      </c>
      <c r="P40" s="94">
        <f t="shared" si="4"/>
        <v>2372938</v>
      </c>
      <c r="Q40" s="95">
        <f t="shared" si="4"/>
        <v>0.99999999999999989</v>
      </c>
    </row>
    <row r="41" spans="2:17" ht="31.5" customHeight="1" x14ac:dyDescent="0.25">
      <c r="C41" s="154" t="s">
        <v>33</v>
      </c>
      <c r="D41" s="154"/>
      <c r="E41" s="154"/>
      <c r="F41" s="154"/>
      <c r="G41" s="154"/>
      <c r="H41" s="154"/>
      <c r="I41" s="154"/>
      <c r="J41" s="154"/>
      <c r="K41" s="154"/>
      <c r="L41" s="154"/>
      <c r="M41" s="154"/>
      <c r="N41" s="154"/>
      <c r="O41" s="154"/>
      <c r="P41" s="154"/>
      <c r="Q41" s="154"/>
    </row>
    <row r="42" spans="2:17" ht="31.5" customHeight="1" x14ac:dyDescent="0.25">
      <c r="C42" s="153" t="s">
        <v>34</v>
      </c>
      <c r="D42" s="153"/>
      <c r="E42" s="153"/>
      <c r="F42" s="153"/>
      <c r="G42" s="153"/>
      <c r="H42" s="153"/>
      <c r="I42" s="153"/>
      <c r="J42" s="153"/>
      <c r="K42" s="153"/>
      <c r="L42" s="153"/>
      <c r="M42" s="153"/>
      <c r="N42" s="153"/>
      <c r="O42" s="153"/>
      <c r="P42" s="153"/>
      <c r="Q42" s="153"/>
    </row>
    <row r="43" spans="2:17" ht="31.5" customHeight="1" x14ac:dyDescent="0.25">
      <c r="C43" s="153" t="s">
        <v>35</v>
      </c>
      <c r="D43" s="153"/>
      <c r="E43" s="153"/>
      <c r="F43" s="153"/>
      <c r="G43" s="153"/>
      <c r="H43" s="153"/>
      <c r="I43" s="153"/>
      <c r="J43" s="153"/>
      <c r="K43" s="153"/>
      <c r="L43" s="153"/>
      <c r="M43" s="153"/>
      <c r="N43" s="153"/>
      <c r="O43" s="153"/>
      <c r="P43" s="153"/>
      <c r="Q43" s="153"/>
    </row>
    <row r="44" spans="2:17" ht="31.5" customHeight="1" x14ac:dyDescent="0.25">
      <c r="C44" s="151" t="s">
        <v>36</v>
      </c>
      <c r="D44" s="151"/>
      <c r="E44" s="151"/>
      <c r="F44" s="151"/>
      <c r="G44" s="151"/>
      <c r="H44" s="151"/>
      <c r="I44" s="151"/>
      <c r="J44" s="151"/>
      <c r="K44" s="151"/>
      <c r="L44" s="151"/>
      <c r="M44" s="151"/>
      <c r="N44" s="151"/>
      <c r="O44" s="151"/>
      <c r="P44" s="151"/>
      <c r="Q44" s="151"/>
    </row>
    <row r="45" spans="2:17" ht="31.5" customHeight="1" x14ac:dyDescent="0.25">
      <c r="C45" s="151" t="str">
        <f>C15</f>
        <v>FUENTE: BASE DE DATOS SNS AÑO 2.021 (ENERO-DICIEMBRE)</v>
      </c>
      <c r="D45" s="151"/>
      <c r="E45" s="151"/>
      <c r="F45" s="151"/>
      <c r="G45" s="151"/>
      <c r="H45" s="151"/>
      <c r="I45" s="151"/>
      <c r="J45" s="151"/>
      <c r="K45" s="151"/>
      <c r="L45" s="151"/>
      <c r="M45" s="151"/>
      <c r="N45" s="151"/>
      <c r="O45" s="151"/>
      <c r="P45" s="151"/>
      <c r="Q45" s="151"/>
    </row>
    <row r="49" spans="1:24" ht="15.75" x14ac:dyDescent="0.25">
      <c r="C49" s="4" t="s">
        <v>37</v>
      </c>
    </row>
    <row r="50" spans="1:24" ht="16.5" thickBot="1" x14ac:dyDescent="0.3">
      <c r="C50" s="4"/>
    </row>
    <row r="51" spans="1:24" ht="15.75" thickBot="1" x14ac:dyDescent="0.3">
      <c r="C51" s="159" t="s">
        <v>737</v>
      </c>
      <c r="D51" s="160"/>
      <c r="E51" s="160"/>
      <c r="F51" s="160"/>
      <c r="G51" s="160"/>
      <c r="H51" s="160"/>
      <c r="I51" s="160"/>
      <c r="J51" s="160"/>
      <c r="K51" s="160"/>
      <c r="L51" s="160"/>
      <c r="M51" s="160"/>
      <c r="N51" s="160"/>
      <c r="O51" s="160"/>
      <c r="P51" s="160"/>
      <c r="Q51" s="160"/>
      <c r="R51" s="161"/>
    </row>
    <row r="52" spans="1:24" ht="35.25" customHeight="1" thickBot="1" x14ac:dyDescent="0.3">
      <c r="A52" s="1" t="s">
        <v>156</v>
      </c>
      <c r="B52" s="1" t="s">
        <v>157</v>
      </c>
      <c r="C52" s="56" t="s">
        <v>38</v>
      </c>
      <c r="D52" s="48" t="s">
        <v>2</v>
      </c>
      <c r="E52" s="48" t="s">
        <v>3</v>
      </c>
      <c r="F52" s="48" t="s">
        <v>4</v>
      </c>
      <c r="G52" s="48" t="s">
        <v>5</v>
      </c>
      <c r="H52" s="48" t="s">
        <v>6</v>
      </c>
      <c r="I52" s="48" t="s">
        <v>7</v>
      </c>
      <c r="J52" s="48" t="s">
        <v>8</v>
      </c>
      <c r="K52" s="48" t="s">
        <v>9</v>
      </c>
      <c r="L52" s="48" t="s">
        <v>10</v>
      </c>
      <c r="M52" s="48" t="s">
        <v>11</v>
      </c>
      <c r="N52" s="48" t="s">
        <v>12</v>
      </c>
      <c r="O52" s="48" t="s">
        <v>13</v>
      </c>
      <c r="P52" s="49" t="s">
        <v>728</v>
      </c>
      <c r="Q52" s="49" t="s">
        <v>816</v>
      </c>
      <c r="R52" s="53" t="s">
        <v>158</v>
      </c>
      <c r="V52" s="129"/>
      <c r="W52" s="129"/>
    </row>
    <row r="53" spans="1:24" ht="29.25" customHeight="1" thickBot="1" x14ac:dyDescent="0.3">
      <c r="A53" s="33" t="s">
        <v>161</v>
      </c>
      <c r="B53" s="33" t="s">
        <v>162</v>
      </c>
      <c r="C53" s="52" t="s">
        <v>162</v>
      </c>
      <c r="D53" s="12">
        <v>2663</v>
      </c>
      <c r="E53" s="79">
        <v>3003</v>
      </c>
      <c r="F53" s="79">
        <v>3278</v>
      </c>
      <c r="G53" s="79">
        <v>2900</v>
      </c>
      <c r="H53" s="79">
        <v>2422</v>
      </c>
      <c r="I53" s="79">
        <v>2863</v>
      </c>
      <c r="J53" s="90">
        <f>VLOOKUP(C53,[2]Hoja1!$A$52:$I$85,8,FALSE)</f>
        <v>3277</v>
      </c>
      <c r="K53" s="90">
        <f>VLOOKUP(C53,[3]Hoja2!$A:$I,9,FALSE)</f>
        <v>3379</v>
      </c>
      <c r="L53" s="90">
        <v>3454</v>
      </c>
      <c r="M53" s="90">
        <v>2923</v>
      </c>
      <c r="N53" s="90">
        <v>3424</v>
      </c>
      <c r="O53" s="91">
        <v>2958</v>
      </c>
      <c r="P53" s="92">
        <f t="shared" ref="P53:P85" si="5">SUM(D53:O53)</f>
        <v>36544</v>
      </c>
      <c r="Q53" s="90">
        <v>1036414</v>
      </c>
      <c r="R53" s="58">
        <f t="shared" ref="R53:R85" si="6">+P53/Q53*1000</f>
        <v>35.260040871697989</v>
      </c>
      <c r="S53" s="133"/>
      <c r="V53" s="129"/>
      <c r="W53" s="129"/>
      <c r="X53" s="128"/>
    </row>
    <row r="54" spans="1:24" ht="12.75" customHeight="1" thickBot="1" x14ac:dyDescent="0.3">
      <c r="A54" s="33" t="s">
        <v>166</v>
      </c>
      <c r="B54" s="33" t="s">
        <v>167</v>
      </c>
      <c r="C54" s="52" t="s">
        <v>167</v>
      </c>
      <c r="D54" s="12">
        <v>11036</v>
      </c>
      <c r="E54" s="79">
        <v>11532</v>
      </c>
      <c r="F54" s="79">
        <v>12360</v>
      </c>
      <c r="G54" s="79">
        <v>12186</v>
      </c>
      <c r="H54" s="79">
        <v>8239</v>
      </c>
      <c r="I54" s="79">
        <v>11208</v>
      </c>
      <c r="J54" s="90">
        <f>VLOOKUP(C54,[2]Hoja1!$A$52:$I$85,8,FALSE)</f>
        <v>13170</v>
      </c>
      <c r="K54" s="90">
        <f>VLOOKUP(C54,[3]Hoja2!$A:$I,9,FALSE)</f>
        <v>13120</v>
      </c>
      <c r="L54" s="90">
        <v>13745</v>
      </c>
      <c r="M54" s="90">
        <v>12262</v>
      </c>
      <c r="N54" s="90">
        <v>13335</v>
      </c>
      <c r="O54" s="91">
        <v>10120</v>
      </c>
      <c r="P54" s="92">
        <f t="shared" si="5"/>
        <v>142313</v>
      </c>
      <c r="Q54" s="90">
        <v>4590277</v>
      </c>
      <c r="R54" s="58">
        <f t="shared" si="6"/>
        <v>31.003139897657594</v>
      </c>
      <c r="S54" s="133"/>
      <c r="V54" s="129"/>
      <c r="W54" s="129"/>
      <c r="X54" s="128"/>
    </row>
    <row r="55" spans="1:24" ht="15.75" thickBot="1" x14ac:dyDescent="0.3">
      <c r="A55" s="33" t="s">
        <v>163</v>
      </c>
      <c r="B55" s="33" t="s">
        <v>50</v>
      </c>
      <c r="C55" s="52" t="s">
        <v>50</v>
      </c>
      <c r="D55" s="12">
        <v>17983</v>
      </c>
      <c r="E55" s="79">
        <v>18423</v>
      </c>
      <c r="F55" s="79">
        <v>18932</v>
      </c>
      <c r="G55" s="79">
        <v>18620</v>
      </c>
      <c r="H55" s="79">
        <v>18557</v>
      </c>
      <c r="I55" s="79">
        <v>20962</v>
      </c>
      <c r="J55" s="90">
        <f>VLOOKUP(C55,[2]Hoja1!$A$52:$I$85,8,FALSE)</f>
        <v>20617</v>
      </c>
      <c r="K55" s="90">
        <f>VLOOKUP(C55,[3]Hoja2!$A:$I,9,FALSE)</f>
        <v>19681</v>
      </c>
      <c r="L55" s="90">
        <v>20040</v>
      </c>
      <c r="M55" s="90">
        <v>18279</v>
      </c>
      <c r="N55" s="90">
        <v>19483</v>
      </c>
      <c r="O55" s="91">
        <v>14665</v>
      </c>
      <c r="P55" s="92">
        <f t="shared" si="5"/>
        <v>226242</v>
      </c>
      <c r="Q55" s="90">
        <v>8104437</v>
      </c>
      <c r="R55" s="58">
        <f t="shared" si="6"/>
        <v>27.915819445570371</v>
      </c>
      <c r="S55" s="133"/>
      <c r="V55" s="129"/>
      <c r="W55" s="129"/>
      <c r="X55" s="128"/>
    </row>
    <row r="56" spans="1:24" ht="15.75" thickBot="1" x14ac:dyDescent="0.3">
      <c r="A56" s="33" t="s">
        <v>159</v>
      </c>
      <c r="B56" s="33" t="s">
        <v>160</v>
      </c>
      <c r="C56" s="52" t="s">
        <v>773</v>
      </c>
      <c r="D56" s="12">
        <v>1196</v>
      </c>
      <c r="E56" s="79">
        <v>1193</v>
      </c>
      <c r="F56" s="79">
        <v>1381</v>
      </c>
      <c r="G56" s="79">
        <v>1160</v>
      </c>
      <c r="H56" s="79">
        <v>1079</v>
      </c>
      <c r="I56" s="79">
        <v>1252</v>
      </c>
      <c r="J56" s="90">
        <f>VLOOKUP(C56,[2]Hoja1!$A$52:$I$85,8,FALSE)</f>
        <v>1343</v>
      </c>
      <c r="K56" s="90">
        <f>VLOOKUP(C56,[3]Hoja2!$A:$I,9,FALSE)</f>
        <v>1412</v>
      </c>
      <c r="L56" s="90">
        <v>1481</v>
      </c>
      <c r="M56" s="90">
        <v>1320</v>
      </c>
      <c r="N56" s="90">
        <v>1423</v>
      </c>
      <c r="O56" s="91">
        <v>1090</v>
      </c>
      <c r="P56" s="92">
        <f t="shared" si="5"/>
        <v>15330</v>
      </c>
      <c r="Q56" s="90">
        <v>567060</v>
      </c>
      <c r="R56" s="58">
        <f t="shared" si="6"/>
        <v>27.03417627764258</v>
      </c>
      <c r="S56" s="133"/>
      <c r="V56" s="129"/>
      <c r="W56" s="129"/>
      <c r="X56" s="128"/>
    </row>
    <row r="57" spans="1:24" ht="15.75" thickBot="1" x14ac:dyDescent="0.3">
      <c r="A57" s="33" t="s">
        <v>168</v>
      </c>
      <c r="B57" s="33" t="s">
        <v>169</v>
      </c>
      <c r="C57" s="52" t="s">
        <v>169</v>
      </c>
      <c r="D57" s="12">
        <v>1535</v>
      </c>
      <c r="E57" s="79">
        <v>1811</v>
      </c>
      <c r="F57" s="79">
        <v>1966</v>
      </c>
      <c r="G57" s="79">
        <v>2001</v>
      </c>
      <c r="H57" s="79">
        <v>1667</v>
      </c>
      <c r="I57" s="79">
        <v>1910</v>
      </c>
      <c r="J57" s="90">
        <f>VLOOKUP(C57,[2]Hoja1!$A$52:$I$85,8,FALSE)</f>
        <v>2078</v>
      </c>
      <c r="K57" s="90">
        <f>VLOOKUP(C57,[3]Hoja2!$A:$I,9,FALSE)</f>
        <v>2362</v>
      </c>
      <c r="L57" s="90">
        <v>2399</v>
      </c>
      <c r="M57" s="90">
        <v>2151</v>
      </c>
      <c r="N57" s="90">
        <v>2329</v>
      </c>
      <c r="O57" s="91">
        <v>1752</v>
      </c>
      <c r="P57" s="92">
        <f t="shared" si="5"/>
        <v>23961</v>
      </c>
      <c r="Q57" s="90">
        <v>927376</v>
      </c>
      <c r="R57" s="58">
        <f t="shared" si="6"/>
        <v>25.83741653870706</v>
      </c>
      <c r="S57" s="133"/>
      <c r="V57" s="129"/>
      <c r="W57" s="129"/>
      <c r="X57" s="128"/>
    </row>
    <row r="58" spans="1:24" ht="21" customHeight="1" thickBot="1" x14ac:dyDescent="0.3">
      <c r="A58" s="33" t="s">
        <v>172</v>
      </c>
      <c r="B58" s="33" t="s">
        <v>173</v>
      </c>
      <c r="C58" s="52" t="s">
        <v>173</v>
      </c>
      <c r="D58" s="12">
        <v>10612</v>
      </c>
      <c r="E58" s="79">
        <v>11386</v>
      </c>
      <c r="F58" s="79">
        <v>13150</v>
      </c>
      <c r="G58" s="79">
        <v>11385</v>
      </c>
      <c r="H58" s="79">
        <v>10982</v>
      </c>
      <c r="I58" s="79">
        <v>12132</v>
      </c>
      <c r="J58" s="90">
        <f>VLOOKUP(C58,[2]Hoja1!$A$52:$I$85,8,FALSE)</f>
        <v>13300</v>
      </c>
      <c r="K58" s="90">
        <f>VLOOKUP(C58,[3]Hoja2!$A:$I,9,FALSE)</f>
        <v>14119</v>
      </c>
      <c r="L58" s="90">
        <v>15578</v>
      </c>
      <c r="M58" s="90">
        <v>14042</v>
      </c>
      <c r="N58" s="90">
        <v>15475</v>
      </c>
      <c r="O58" s="91">
        <v>12290</v>
      </c>
      <c r="P58" s="92">
        <f t="shared" si="5"/>
        <v>154451</v>
      </c>
      <c r="Q58" s="90">
        <v>6802150</v>
      </c>
      <c r="R58" s="58">
        <f t="shared" si="6"/>
        <v>22.706203185757445</v>
      </c>
      <c r="S58" s="133"/>
      <c r="V58" s="129"/>
      <c r="W58" s="129"/>
      <c r="X58" s="128"/>
    </row>
    <row r="59" spans="1:24" ht="27.75" customHeight="1" thickBot="1" x14ac:dyDescent="0.3">
      <c r="A59" s="33" t="s">
        <v>170</v>
      </c>
      <c r="B59" s="33" t="s">
        <v>171</v>
      </c>
      <c r="C59" s="52" t="s">
        <v>171</v>
      </c>
      <c r="D59" s="12">
        <v>2039</v>
      </c>
      <c r="E59" s="79">
        <v>2263</v>
      </c>
      <c r="F59" s="79">
        <v>2357</v>
      </c>
      <c r="G59" s="79">
        <v>2368</v>
      </c>
      <c r="H59" s="79">
        <v>2098</v>
      </c>
      <c r="I59" s="79">
        <v>2229</v>
      </c>
      <c r="J59" s="90">
        <f>VLOOKUP(C59,[2]Hoja1!$A$52:$I$85,8,FALSE)</f>
        <v>2633</v>
      </c>
      <c r="K59" s="90">
        <f>VLOOKUP(C59,[3]Hoja2!$A:$I,9,FALSE)</f>
        <v>2712</v>
      </c>
      <c r="L59" s="90">
        <v>2717</v>
      </c>
      <c r="M59" s="90">
        <v>2572</v>
      </c>
      <c r="N59" s="90">
        <v>2665</v>
      </c>
      <c r="O59" s="91">
        <v>1892</v>
      </c>
      <c r="P59" s="92">
        <f t="shared" si="5"/>
        <v>28545</v>
      </c>
      <c r="Q59" s="90">
        <v>1316415</v>
      </c>
      <c r="R59" s="58">
        <f t="shared" si="6"/>
        <v>21.683891477991363</v>
      </c>
      <c r="S59" s="133"/>
      <c r="V59" s="129"/>
      <c r="W59" s="129"/>
      <c r="X59" s="128"/>
    </row>
    <row r="60" spans="1:24" ht="15.75" thickBot="1" x14ac:dyDescent="0.3">
      <c r="A60" s="33" t="s">
        <v>180</v>
      </c>
      <c r="B60" s="33" t="s">
        <v>181</v>
      </c>
      <c r="C60" s="52" t="s">
        <v>181</v>
      </c>
      <c r="D60" s="12">
        <v>4141</v>
      </c>
      <c r="E60" s="79">
        <v>4707</v>
      </c>
      <c r="F60" s="79">
        <v>6298</v>
      </c>
      <c r="G60" s="79">
        <v>6371</v>
      </c>
      <c r="H60" s="79">
        <v>4422</v>
      </c>
      <c r="I60" s="79">
        <v>4222</v>
      </c>
      <c r="J60" s="90">
        <f>VLOOKUP(C60,[2]Hoja1!$A$52:$I$85,8,FALSE)</f>
        <v>4680</v>
      </c>
      <c r="K60" s="90">
        <f>VLOOKUP(C60,[3]Hoja2!$A:$I,9,FALSE)</f>
        <v>4851</v>
      </c>
      <c r="L60" s="90">
        <v>4846</v>
      </c>
      <c r="M60" s="90">
        <v>4155</v>
      </c>
      <c r="N60" s="90">
        <v>4802</v>
      </c>
      <c r="O60" s="91">
        <v>3746</v>
      </c>
      <c r="P60" s="92">
        <f t="shared" si="5"/>
        <v>57241</v>
      </c>
      <c r="Q60" s="90">
        <v>2714228</v>
      </c>
      <c r="R60" s="58">
        <f t="shared" si="6"/>
        <v>21.089237897479503</v>
      </c>
      <c r="S60" s="133"/>
      <c r="V60" s="129"/>
      <c r="W60" s="129"/>
      <c r="X60" s="128"/>
    </row>
    <row r="61" spans="1:24" ht="15.75" thickBot="1" x14ac:dyDescent="0.3">
      <c r="A61" s="33" t="s">
        <v>176</v>
      </c>
      <c r="B61" s="33" t="s">
        <v>177</v>
      </c>
      <c r="C61" s="52" t="s">
        <v>177</v>
      </c>
      <c r="D61" s="12">
        <v>1268</v>
      </c>
      <c r="E61" s="79">
        <v>1557</v>
      </c>
      <c r="F61" s="79">
        <v>1737</v>
      </c>
      <c r="G61" s="79">
        <v>1760</v>
      </c>
      <c r="H61" s="79">
        <v>1575</v>
      </c>
      <c r="I61" s="79">
        <v>1790</v>
      </c>
      <c r="J61" s="90">
        <f>VLOOKUP(C61,[2]Hoja1!$A$52:$I$85,8,FALSE)</f>
        <v>1997</v>
      </c>
      <c r="K61" s="90">
        <f>VLOOKUP(C61,[3]Hoja2!$A:$I,9,FALSE)</f>
        <v>2197</v>
      </c>
      <c r="L61" s="90">
        <v>2335</v>
      </c>
      <c r="M61" s="90">
        <v>1882</v>
      </c>
      <c r="N61" s="90">
        <v>1915</v>
      </c>
      <c r="O61" s="91">
        <v>1500</v>
      </c>
      <c r="P61" s="92">
        <f t="shared" si="5"/>
        <v>21513</v>
      </c>
      <c r="Q61" s="90">
        <v>1040391</v>
      </c>
      <c r="R61" s="58">
        <f t="shared" si="6"/>
        <v>20.677802864499981</v>
      </c>
      <c r="S61" s="133"/>
      <c r="V61" s="129"/>
      <c r="W61" s="129"/>
      <c r="X61" s="128"/>
    </row>
    <row r="62" spans="1:24" ht="15.75" thickBot="1" x14ac:dyDescent="0.3">
      <c r="A62" s="33" t="s">
        <v>164</v>
      </c>
      <c r="B62" s="33" t="s">
        <v>165</v>
      </c>
      <c r="C62" s="52" t="s">
        <v>165</v>
      </c>
      <c r="D62" s="12">
        <v>3174</v>
      </c>
      <c r="E62" s="79">
        <v>3359</v>
      </c>
      <c r="F62" s="79">
        <v>3700</v>
      </c>
      <c r="G62" s="79">
        <v>3387</v>
      </c>
      <c r="H62" s="79">
        <v>3620</v>
      </c>
      <c r="I62" s="79">
        <v>4069</v>
      </c>
      <c r="J62" s="90">
        <f>VLOOKUP(C62,[2]Hoja1!$A$52:$I$85,8,FALSE)</f>
        <v>3806</v>
      </c>
      <c r="K62" s="90">
        <f>VLOOKUP(C62,[3]Hoja2!$A:$I,9,FALSE)</f>
        <v>4215</v>
      </c>
      <c r="L62" s="90">
        <v>4601</v>
      </c>
      <c r="M62" s="90">
        <v>4060</v>
      </c>
      <c r="N62" s="90">
        <v>4640</v>
      </c>
      <c r="O62" s="91">
        <v>3645</v>
      </c>
      <c r="P62" s="92">
        <f t="shared" si="5"/>
        <v>46276</v>
      </c>
      <c r="Q62" s="90">
        <v>2248217</v>
      </c>
      <c r="R62" s="58">
        <f t="shared" si="6"/>
        <v>20.583422329784003</v>
      </c>
      <c r="S62" s="133"/>
      <c r="V62" s="129"/>
      <c r="W62" s="129"/>
      <c r="X62" s="128"/>
    </row>
    <row r="63" spans="1:24" ht="15.75" thickBot="1" x14ac:dyDescent="0.3">
      <c r="A63" s="33" t="s">
        <v>178</v>
      </c>
      <c r="B63" s="33" t="s">
        <v>179</v>
      </c>
      <c r="C63" s="52" t="s">
        <v>179</v>
      </c>
      <c r="D63" s="12">
        <v>3475</v>
      </c>
      <c r="E63" s="79">
        <v>3726</v>
      </c>
      <c r="F63" s="79">
        <v>3465</v>
      </c>
      <c r="G63" s="79">
        <v>3555</v>
      </c>
      <c r="H63" s="79">
        <v>3564</v>
      </c>
      <c r="I63" s="79">
        <v>3758</v>
      </c>
      <c r="J63" s="90">
        <f>VLOOKUP(C63,[2]Hoja1!$A$52:$I$85,8,FALSE)</f>
        <v>3767</v>
      </c>
      <c r="K63" s="90">
        <f>VLOOKUP(C63,[3]Hoja2!$A:$I,9,FALSE)</f>
        <v>3921</v>
      </c>
      <c r="L63" s="90">
        <v>4344</v>
      </c>
      <c r="M63" s="90">
        <v>4019</v>
      </c>
      <c r="N63" s="90">
        <v>4403</v>
      </c>
      <c r="O63" s="91">
        <v>3301</v>
      </c>
      <c r="P63" s="92">
        <f t="shared" si="5"/>
        <v>45298</v>
      </c>
      <c r="Q63" s="90">
        <v>2580327</v>
      </c>
      <c r="R63" s="58">
        <f t="shared" si="6"/>
        <v>17.555139329240053</v>
      </c>
      <c r="S63" s="133"/>
      <c r="V63" s="129"/>
      <c r="W63" s="129"/>
      <c r="X63" s="128"/>
    </row>
    <row r="64" spans="1:24" ht="30.75" thickBot="1" x14ac:dyDescent="0.3">
      <c r="A64" s="33" t="s">
        <v>187</v>
      </c>
      <c r="B64" s="33" t="s">
        <v>188</v>
      </c>
      <c r="C64" s="44" t="s">
        <v>188</v>
      </c>
      <c r="D64" s="12">
        <v>315</v>
      </c>
      <c r="E64" s="79">
        <v>38</v>
      </c>
      <c r="F64" s="79">
        <v>54</v>
      </c>
      <c r="G64" s="79">
        <v>73</v>
      </c>
      <c r="H64" s="79">
        <v>56</v>
      </c>
      <c r="I64" s="79">
        <v>63</v>
      </c>
      <c r="J64" s="90">
        <f>VLOOKUP(C64,[2]Hoja1!$A$52:$I$85,8,FALSE)</f>
        <v>54</v>
      </c>
      <c r="K64" s="90">
        <f>VLOOKUP(C64,[3]Hoja2!$A:$I,9,FALSE)</f>
        <v>80</v>
      </c>
      <c r="L64" s="90">
        <v>79</v>
      </c>
      <c r="M64" s="90">
        <v>72</v>
      </c>
      <c r="N64" s="90">
        <v>70</v>
      </c>
      <c r="O64" s="91">
        <v>62</v>
      </c>
      <c r="P64" s="92">
        <f t="shared" si="5"/>
        <v>1016</v>
      </c>
      <c r="Q64" s="90">
        <v>63102</v>
      </c>
      <c r="R64" s="58">
        <f t="shared" si="6"/>
        <v>16.100915977306585</v>
      </c>
      <c r="S64" s="133"/>
      <c r="V64" s="129"/>
      <c r="W64" s="129"/>
      <c r="X64" s="128"/>
    </row>
    <row r="65" spans="1:24" ht="15.75" thickBot="1" x14ac:dyDescent="0.3">
      <c r="A65" s="33" t="s">
        <v>189</v>
      </c>
      <c r="B65" s="33" t="s">
        <v>190</v>
      </c>
      <c r="C65" s="52" t="s">
        <v>190</v>
      </c>
      <c r="D65" s="12">
        <v>1052</v>
      </c>
      <c r="E65" s="79">
        <v>1202</v>
      </c>
      <c r="F65" s="79">
        <v>1166</v>
      </c>
      <c r="G65" s="79">
        <v>1254</v>
      </c>
      <c r="H65" s="79">
        <v>1127</v>
      </c>
      <c r="I65" s="79">
        <v>1219</v>
      </c>
      <c r="J65" s="90">
        <f>VLOOKUP(C65,[2]Hoja1!$A$52:$I$85,8,FALSE)</f>
        <v>1441</v>
      </c>
      <c r="K65" s="90">
        <f>VLOOKUP(C65,[3]Hoja2!$A:$I,9,FALSE)</f>
        <v>1908</v>
      </c>
      <c r="L65" s="90">
        <v>1894</v>
      </c>
      <c r="M65" s="90">
        <v>1822</v>
      </c>
      <c r="N65" s="90">
        <v>2040</v>
      </c>
      <c r="O65" s="91">
        <v>1624</v>
      </c>
      <c r="P65" s="92">
        <f t="shared" si="5"/>
        <v>17749</v>
      </c>
      <c r="Q65" s="90">
        <v>1179655</v>
      </c>
      <c r="R65" s="58">
        <f t="shared" si="6"/>
        <v>15.045924444011172</v>
      </c>
      <c r="S65" s="133"/>
      <c r="V65" s="129"/>
      <c r="W65" s="129"/>
      <c r="X65" s="128"/>
    </row>
    <row r="66" spans="1:24" ht="15.75" thickBot="1" x14ac:dyDescent="0.3">
      <c r="A66" s="33" t="s">
        <v>182</v>
      </c>
      <c r="B66" s="33" t="s">
        <v>183</v>
      </c>
      <c r="C66" s="52" t="s">
        <v>183</v>
      </c>
      <c r="D66" s="12">
        <v>1542</v>
      </c>
      <c r="E66" s="79">
        <v>1658</v>
      </c>
      <c r="F66" s="79">
        <v>1776</v>
      </c>
      <c r="G66" s="79">
        <v>1757</v>
      </c>
      <c r="H66" s="79">
        <v>1141</v>
      </c>
      <c r="I66" s="79">
        <v>1354</v>
      </c>
      <c r="J66" s="90">
        <f>VLOOKUP(C66,[2]Hoja1!$A$52:$I$85,8,FALSE)</f>
        <v>1840</v>
      </c>
      <c r="K66" s="90">
        <f>VLOOKUP(C66,[3]Hoja2!$A:$I,9,FALSE)</f>
        <v>1867</v>
      </c>
      <c r="L66" s="90">
        <v>1915</v>
      </c>
      <c r="M66" s="90">
        <v>1695</v>
      </c>
      <c r="N66" s="90">
        <v>1892</v>
      </c>
      <c r="O66" s="91">
        <v>1438</v>
      </c>
      <c r="P66" s="92">
        <f t="shared" si="5"/>
        <v>19875</v>
      </c>
      <c r="Q66" s="90">
        <v>1321724</v>
      </c>
      <c r="R66" s="58">
        <f t="shared" si="6"/>
        <v>15.037178715072134</v>
      </c>
      <c r="S66" s="133"/>
      <c r="V66" s="129"/>
      <c r="W66" s="129"/>
      <c r="X66" s="128"/>
    </row>
    <row r="67" spans="1:24" ht="15.75" thickBot="1" x14ac:dyDescent="0.3">
      <c r="A67" s="33" t="s">
        <v>174</v>
      </c>
      <c r="B67" s="33" t="s">
        <v>175</v>
      </c>
      <c r="C67" s="73" t="s">
        <v>175</v>
      </c>
      <c r="D67" s="74">
        <v>1060</v>
      </c>
      <c r="E67" s="79">
        <v>1167</v>
      </c>
      <c r="F67" s="79">
        <v>1443</v>
      </c>
      <c r="G67" s="79">
        <v>1511</v>
      </c>
      <c r="H67" s="79">
        <v>1166</v>
      </c>
      <c r="I67" s="79">
        <v>1425</v>
      </c>
      <c r="J67" s="90">
        <f>VLOOKUP(C67,[2]Hoja1!$A$52:$I$85,8,FALSE)</f>
        <v>1554</v>
      </c>
      <c r="K67" s="90">
        <f>VLOOKUP(C67,[3]Hoja2!$A:$I,9,FALSE)</f>
        <v>1616</v>
      </c>
      <c r="L67" s="90">
        <v>1695</v>
      </c>
      <c r="M67" s="90">
        <v>1676</v>
      </c>
      <c r="N67" s="90">
        <v>1781</v>
      </c>
      <c r="O67" s="91">
        <v>1461</v>
      </c>
      <c r="P67" s="93">
        <f t="shared" si="5"/>
        <v>17555</v>
      </c>
      <c r="Q67" s="90">
        <v>1171092</v>
      </c>
      <c r="R67" s="75">
        <f t="shared" si="6"/>
        <v>14.990282573871223</v>
      </c>
      <c r="S67" s="133"/>
      <c r="V67" s="129"/>
      <c r="W67" s="129"/>
      <c r="X67" s="128"/>
    </row>
    <row r="68" spans="1:24" ht="27" customHeight="1" thickBot="1" x14ac:dyDescent="0.3">
      <c r="A68" s="33" t="s">
        <v>201</v>
      </c>
      <c r="B68" s="33" t="s">
        <v>202</v>
      </c>
      <c r="C68" s="52" t="s">
        <v>202</v>
      </c>
      <c r="D68" s="12">
        <v>490</v>
      </c>
      <c r="E68" s="79">
        <v>382</v>
      </c>
      <c r="F68" s="79">
        <v>490</v>
      </c>
      <c r="G68" s="79">
        <v>468</v>
      </c>
      <c r="H68" s="79">
        <v>420</v>
      </c>
      <c r="I68" s="79">
        <v>531</v>
      </c>
      <c r="J68" s="90">
        <f>VLOOKUP(C68,[2]Hoja1!$A$52:$I$85,8,FALSE)</f>
        <v>517</v>
      </c>
      <c r="K68" s="90">
        <f>VLOOKUP(C68,[3]Hoja2!$A:$I,9,FALSE)</f>
        <v>529</v>
      </c>
      <c r="L68" s="90">
        <v>610</v>
      </c>
      <c r="M68" s="90">
        <v>815</v>
      </c>
      <c r="N68" s="90">
        <v>591</v>
      </c>
      <c r="O68" s="91">
        <v>420</v>
      </c>
      <c r="P68" s="92">
        <f t="shared" si="5"/>
        <v>6263</v>
      </c>
      <c r="Q68" s="90">
        <v>419240</v>
      </c>
      <c r="R68" s="58">
        <f t="shared" si="6"/>
        <v>14.938937124320198</v>
      </c>
      <c r="S68" s="133"/>
      <c r="V68" s="129"/>
      <c r="W68" s="129"/>
      <c r="X68" s="128"/>
    </row>
    <row r="69" spans="1:24" ht="15.75" thickBot="1" x14ac:dyDescent="0.3">
      <c r="A69" s="33" t="s">
        <v>195</v>
      </c>
      <c r="B69" s="33" t="s">
        <v>196</v>
      </c>
      <c r="C69" s="52" t="s">
        <v>196</v>
      </c>
      <c r="D69" s="12">
        <v>1460</v>
      </c>
      <c r="E69" s="79">
        <v>1363</v>
      </c>
      <c r="F69" s="79">
        <v>1578</v>
      </c>
      <c r="G69" s="79">
        <v>1726</v>
      </c>
      <c r="H69" s="79">
        <v>1576</v>
      </c>
      <c r="I69" s="79">
        <v>1638</v>
      </c>
      <c r="J69" s="90">
        <f>VLOOKUP(C69,[2]Hoja1!$A$52:$I$85,8,FALSE)</f>
        <v>2001</v>
      </c>
      <c r="K69" s="90">
        <f>VLOOKUP(C69,[3]Hoja2!$A:$I,9,FALSE)</f>
        <v>2157</v>
      </c>
      <c r="L69" s="90">
        <v>2475</v>
      </c>
      <c r="M69" s="90">
        <v>2292</v>
      </c>
      <c r="N69" s="90">
        <v>2294</v>
      </c>
      <c r="O69" s="91">
        <v>1974</v>
      </c>
      <c r="P69" s="92">
        <f t="shared" si="5"/>
        <v>22534</v>
      </c>
      <c r="Q69" s="90">
        <v>1599782</v>
      </c>
      <c r="R69" s="58">
        <f t="shared" si="6"/>
        <v>14.085669172424744</v>
      </c>
      <c r="S69" s="133"/>
      <c r="V69" s="129"/>
      <c r="W69" s="129"/>
      <c r="X69" s="128"/>
    </row>
    <row r="70" spans="1:24" ht="15.75" thickBot="1" x14ac:dyDescent="0.3">
      <c r="A70" s="33" t="s">
        <v>191</v>
      </c>
      <c r="B70" s="33" t="s">
        <v>192</v>
      </c>
      <c r="C70" s="52" t="s">
        <v>192</v>
      </c>
      <c r="D70" s="12">
        <v>1204</v>
      </c>
      <c r="E70" s="79">
        <v>1378</v>
      </c>
      <c r="F70" s="79">
        <v>1583</v>
      </c>
      <c r="G70" s="79">
        <v>1650</v>
      </c>
      <c r="H70" s="79">
        <v>1403</v>
      </c>
      <c r="I70" s="79">
        <v>1417</v>
      </c>
      <c r="J70" s="90">
        <f>VLOOKUP(C70,[2]Hoja1!$A$52:$I$85,8,FALSE)</f>
        <v>1469</v>
      </c>
      <c r="K70" s="90">
        <f>VLOOKUP(C70,[3]Hoja2!$A:$I,9,FALSE)</f>
        <v>1600</v>
      </c>
      <c r="L70" s="90">
        <v>1695</v>
      </c>
      <c r="M70" s="90">
        <v>1343</v>
      </c>
      <c r="N70" s="90">
        <v>1537</v>
      </c>
      <c r="O70" s="91">
        <v>1179</v>
      </c>
      <c r="P70" s="92">
        <f t="shared" si="5"/>
        <v>17458</v>
      </c>
      <c r="Q70" s="90">
        <v>1251387</v>
      </c>
      <c r="R70" s="58">
        <f t="shared" si="6"/>
        <v>13.950920059102419</v>
      </c>
      <c r="S70" s="133"/>
      <c r="V70" s="129"/>
      <c r="W70" s="129"/>
      <c r="X70" s="128"/>
    </row>
    <row r="71" spans="1:24" ht="15.75" thickBot="1" x14ac:dyDescent="0.3">
      <c r="A71" s="33" t="s">
        <v>186</v>
      </c>
      <c r="B71" s="33" t="s">
        <v>59</v>
      </c>
      <c r="C71" s="52" t="s">
        <v>59</v>
      </c>
      <c r="D71" s="12">
        <v>169</v>
      </c>
      <c r="E71" s="79">
        <v>169</v>
      </c>
      <c r="F71" s="79">
        <v>173</v>
      </c>
      <c r="G71" s="79">
        <v>163</v>
      </c>
      <c r="H71" s="79">
        <v>205</v>
      </c>
      <c r="I71" s="79">
        <v>261</v>
      </c>
      <c r="J71" s="90">
        <f>VLOOKUP(C71,[2]Hoja1!$A$52:$I$85,8,FALSE)</f>
        <v>266</v>
      </c>
      <c r="K71" s="90">
        <f>VLOOKUP(C71,[3]Hoja2!$A:$I,9,FALSE)</f>
        <v>482</v>
      </c>
      <c r="L71" s="90">
        <v>433</v>
      </c>
      <c r="M71" s="90">
        <v>434</v>
      </c>
      <c r="N71" s="90">
        <v>332</v>
      </c>
      <c r="O71" s="91">
        <v>263</v>
      </c>
      <c r="P71" s="92">
        <f t="shared" si="5"/>
        <v>3350</v>
      </c>
      <c r="Q71" s="90">
        <v>286376</v>
      </c>
      <c r="R71" s="58">
        <f t="shared" si="6"/>
        <v>11.697907645892114</v>
      </c>
      <c r="S71" s="133"/>
      <c r="V71" s="129"/>
      <c r="W71" s="129"/>
      <c r="X71" s="128"/>
    </row>
    <row r="72" spans="1:24" ht="15.75" thickBot="1" x14ac:dyDescent="0.3">
      <c r="A72" s="33" t="s">
        <v>211</v>
      </c>
      <c r="B72" s="33" t="s">
        <v>212</v>
      </c>
      <c r="C72" s="52" t="s">
        <v>212</v>
      </c>
      <c r="D72" s="12">
        <v>1871</v>
      </c>
      <c r="E72" s="79">
        <v>2218</v>
      </c>
      <c r="F72" s="79">
        <v>2169</v>
      </c>
      <c r="G72" s="79">
        <v>2067</v>
      </c>
      <c r="H72" s="79">
        <v>2161</v>
      </c>
      <c r="I72" s="79">
        <v>2258</v>
      </c>
      <c r="J72" s="90">
        <f>VLOOKUP(C72,[2]Hoja1!$A$52:$I$85,8,FALSE)</f>
        <v>2314</v>
      </c>
      <c r="K72" s="90">
        <f>VLOOKUP(C72,[3]Hoja2!$A:$I,9,FALSE)</f>
        <v>2303</v>
      </c>
      <c r="L72" s="90">
        <v>2291</v>
      </c>
      <c r="M72" s="90">
        <v>2072</v>
      </c>
      <c r="N72" s="90">
        <v>2102</v>
      </c>
      <c r="O72" s="91">
        <v>1596</v>
      </c>
      <c r="P72" s="92">
        <f t="shared" si="5"/>
        <v>25422</v>
      </c>
      <c r="Q72" s="90">
        <v>2262997</v>
      </c>
      <c r="R72" s="58">
        <f t="shared" si="6"/>
        <v>11.233775387240902</v>
      </c>
      <c r="S72" s="133"/>
      <c r="V72" s="129"/>
      <c r="W72" s="129"/>
      <c r="X72" s="128"/>
    </row>
    <row r="73" spans="1:24" ht="15.75" thickBot="1" x14ac:dyDescent="0.3">
      <c r="A73" s="33" t="s">
        <v>203</v>
      </c>
      <c r="B73" s="33" t="s">
        <v>204</v>
      </c>
      <c r="C73" s="52" t="s">
        <v>204</v>
      </c>
      <c r="D73" s="12">
        <v>594</v>
      </c>
      <c r="E73" s="79">
        <v>820</v>
      </c>
      <c r="F73" s="79">
        <v>910</v>
      </c>
      <c r="G73" s="79">
        <v>910</v>
      </c>
      <c r="H73" s="79">
        <v>729</v>
      </c>
      <c r="I73" s="79">
        <v>865</v>
      </c>
      <c r="J73" s="90">
        <f>VLOOKUP(C73,[2]Hoja1!$A$52:$I$85,8,FALSE)</f>
        <v>935</v>
      </c>
      <c r="K73" s="90">
        <f>VLOOKUP(C73,[3]Hoja2!$A:$I,9,FALSE)</f>
        <v>981</v>
      </c>
      <c r="L73" s="90">
        <v>1034</v>
      </c>
      <c r="M73" s="90">
        <v>999</v>
      </c>
      <c r="N73" s="90">
        <v>1082</v>
      </c>
      <c r="O73" s="91">
        <v>830</v>
      </c>
      <c r="P73" s="92">
        <f t="shared" si="5"/>
        <v>10689</v>
      </c>
      <c r="Q73" s="90">
        <v>968664</v>
      </c>
      <c r="R73" s="58">
        <f t="shared" si="6"/>
        <v>11.034786055845991</v>
      </c>
      <c r="S73" s="133"/>
      <c r="V73" s="129"/>
      <c r="W73" s="129"/>
      <c r="X73" s="128"/>
    </row>
    <row r="74" spans="1:24" ht="15.75" thickBot="1" x14ac:dyDescent="0.3">
      <c r="A74" s="33" t="s">
        <v>209</v>
      </c>
      <c r="B74" s="33" t="s">
        <v>210</v>
      </c>
      <c r="C74" s="52" t="s">
        <v>210</v>
      </c>
      <c r="D74" s="12">
        <v>1244</v>
      </c>
      <c r="E74" s="79">
        <v>1158</v>
      </c>
      <c r="F74" s="79">
        <v>1531</v>
      </c>
      <c r="G74" s="79">
        <v>1375</v>
      </c>
      <c r="H74" s="79">
        <v>1152</v>
      </c>
      <c r="I74" s="79">
        <v>1201</v>
      </c>
      <c r="J74" s="90">
        <f>VLOOKUP(C74,[2]Hoja1!$A$52:$I$85,8,FALSE)</f>
        <v>1325</v>
      </c>
      <c r="K74" s="90">
        <f>VLOOKUP(C74,[3]Hoja2!$A:$I,9,FALSE)</f>
        <v>1398</v>
      </c>
      <c r="L74" s="90">
        <v>1343</v>
      </c>
      <c r="M74" s="90">
        <v>1147</v>
      </c>
      <c r="N74" s="90">
        <v>1387</v>
      </c>
      <c r="O74" s="91">
        <v>1053</v>
      </c>
      <c r="P74" s="92">
        <f t="shared" si="5"/>
        <v>15314</v>
      </c>
      <c r="Q74" s="90">
        <v>1391968</v>
      </c>
      <c r="R74" s="58">
        <f t="shared" si="6"/>
        <v>11.001689694015955</v>
      </c>
      <c r="S74" s="133"/>
      <c r="V74" s="129"/>
      <c r="W74" s="129"/>
      <c r="X74" s="128"/>
    </row>
    <row r="75" spans="1:24" ht="15.75" thickBot="1" x14ac:dyDescent="0.3">
      <c r="A75" s="33" t="s">
        <v>197</v>
      </c>
      <c r="B75" s="33" t="s">
        <v>198</v>
      </c>
      <c r="C75" s="52" t="s">
        <v>198</v>
      </c>
      <c r="D75" s="12">
        <v>235</v>
      </c>
      <c r="E75" s="79">
        <v>321</v>
      </c>
      <c r="F75" s="79">
        <v>371</v>
      </c>
      <c r="G75" s="79">
        <v>332</v>
      </c>
      <c r="H75" s="79">
        <v>278</v>
      </c>
      <c r="I75" s="79">
        <v>316</v>
      </c>
      <c r="J75" s="90">
        <f>VLOOKUP(C75,[2]Hoja1!$A$52:$I$85,8,FALSE)</f>
        <v>317</v>
      </c>
      <c r="K75" s="90">
        <f>VLOOKUP(C75,[3]Hoja2!$A:$I,9,FALSE)</f>
        <v>355</v>
      </c>
      <c r="L75" s="90">
        <v>376</v>
      </c>
      <c r="M75" s="90">
        <v>404</v>
      </c>
      <c r="N75" s="90">
        <v>496</v>
      </c>
      <c r="O75" s="91">
        <v>397</v>
      </c>
      <c r="P75" s="92">
        <f t="shared" si="5"/>
        <v>4198</v>
      </c>
      <c r="Q75" s="90">
        <v>440172</v>
      </c>
      <c r="R75" s="58">
        <f t="shared" si="6"/>
        <v>9.5371809201857456</v>
      </c>
      <c r="S75" s="133"/>
      <c r="V75" s="129"/>
      <c r="W75" s="129"/>
      <c r="X75" s="128"/>
    </row>
    <row r="76" spans="1:24" ht="15.75" thickBot="1" x14ac:dyDescent="0.3">
      <c r="A76" s="33" t="s">
        <v>184</v>
      </c>
      <c r="B76" s="33" t="s">
        <v>185</v>
      </c>
      <c r="C76" s="52" t="s">
        <v>185</v>
      </c>
      <c r="D76" s="12">
        <v>55</v>
      </c>
      <c r="E76" s="79">
        <v>79</v>
      </c>
      <c r="F76" s="79">
        <v>61</v>
      </c>
      <c r="G76" s="79">
        <v>64</v>
      </c>
      <c r="H76" s="79">
        <v>52</v>
      </c>
      <c r="I76" s="79">
        <v>48</v>
      </c>
      <c r="J76" s="90">
        <f>VLOOKUP(C76,[2]Hoja1!$A$52:$I$85,8,FALSE)</f>
        <v>57</v>
      </c>
      <c r="K76" s="90">
        <f>VLOOKUP(C76,[3]Hoja2!$A:$I,9,FALSE)</f>
        <v>68</v>
      </c>
      <c r="L76" s="90">
        <v>65</v>
      </c>
      <c r="M76" s="90">
        <v>56</v>
      </c>
      <c r="N76" s="90">
        <v>81</v>
      </c>
      <c r="O76" s="91">
        <v>83</v>
      </c>
      <c r="P76" s="92">
        <f t="shared" si="5"/>
        <v>769</v>
      </c>
      <c r="Q76" s="90">
        <v>85079</v>
      </c>
      <c r="R76" s="58">
        <f t="shared" si="6"/>
        <v>9.0386581882720769</v>
      </c>
      <c r="S76" s="133"/>
      <c r="V76" s="129"/>
      <c r="W76" s="129"/>
      <c r="X76" s="128"/>
    </row>
    <row r="77" spans="1:24" ht="15.75" thickBot="1" x14ac:dyDescent="0.3">
      <c r="A77" s="33" t="s">
        <v>207</v>
      </c>
      <c r="B77" s="33" t="s">
        <v>208</v>
      </c>
      <c r="C77" s="52" t="s">
        <v>208</v>
      </c>
      <c r="D77" s="12">
        <v>941</v>
      </c>
      <c r="E77" s="79">
        <v>1293</v>
      </c>
      <c r="F77" s="79">
        <v>1335</v>
      </c>
      <c r="G77" s="79">
        <v>1122</v>
      </c>
      <c r="H77" s="79">
        <v>1129</v>
      </c>
      <c r="I77" s="79">
        <v>1281</v>
      </c>
      <c r="J77" s="90">
        <f>VLOOKUP(C77,[2]Hoja1!$A$52:$I$85,8,FALSE)</f>
        <v>1264</v>
      </c>
      <c r="K77" s="90">
        <f>VLOOKUP(C77,[3]Hoja2!$A:$I,9,FALSE)</f>
        <v>1360</v>
      </c>
      <c r="L77" s="90">
        <v>1470</v>
      </c>
      <c r="M77" s="90">
        <v>1351</v>
      </c>
      <c r="N77" s="90">
        <v>1459</v>
      </c>
      <c r="O77" s="91">
        <v>1060</v>
      </c>
      <c r="P77" s="92">
        <f t="shared" si="5"/>
        <v>15065</v>
      </c>
      <c r="Q77" s="90">
        <v>1701995</v>
      </c>
      <c r="R77" s="58">
        <f t="shared" si="6"/>
        <v>8.851377354222544</v>
      </c>
      <c r="S77" s="133"/>
      <c r="V77" s="129"/>
      <c r="W77" s="129"/>
      <c r="X77" s="128"/>
    </row>
    <row r="78" spans="1:24" ht="15.75" thickBot="1" x14ac:dyDescent="0.3">
      <c r="A78" s="33" t="s">
        <v>193</v>
      </c>
      <c r="B78" s="33" t="s">
        <v>194</v>
      </c>
      <c r="C78" s="52" t="s">
        <v>194</v>
      </c>
      <c r="D78" s="12">
        <v>38</v>
      </c>
      <c r="E78" s="79">
        <v>52</v>
      </c>
      <c r="F78" s="79">
        <v>55</v>
      </c>
      <c r="G78" s="79">
        <v>33</v>
      </c>
      <c r="H78" s="79">
        <v>17</v>
      </c>
      <c r="I78" s="79">
        <v>70</v>
      </c>
      <c r="J78" s="90">
        <f>VLOOKUP(C78,[2]Hoja1!$A$52:$I$85,8,FALSE)</f>
        <v>42</v>
      </c>
      <c r="K78" s="90">
        <f>VLOOKUP(C78,[3]Hoja2!$A:$I,9,FALSE)</f>
        <v>57</v>
      </c>
      <c r="L78" s="90">
        <v>58</v>
      </c>
      <c r="M78" s="90">
        <v>46</v>
      </c>
      <c r="N78" s="90">
        <v>63</v>
      </c>
      <c r="O78" s="91">
        <v>62</v>
      </c>
      <c r="P78" s="92">
        <f t="shared" si="5"/>
        <v>593</v>
      </c>
      <c r="Q78" s="90">
        <v>76742</v>
      </c>
      <c r="R78" s="58">
        <f t="shared" si="6"/>
        <v>7.7271898048005001</v>
      </c>
      <c r="S78" s="133"/>
      <c r="V78" s="129"/>
      <c r="W78" s="129"/>
      <c r="X78" s="128"/>
    </row>
    <row r="79" spans="1:24" ht="15.75" thickBot="1" x14ac:dyDescent="0.3">
      <c r="A79" s="33" t="s">
        <v>217</v>
      </c>
      <c r="B79" s="33" t="s">
        <v>218</v>
      </c>
      <c r="C79" s="52" t="s">
        <v>218</v>
      </c>
      <c r="D79" s="12">
        <v>739</v>
      </c>
      <c r="E79" s="79">
        <v>756</v>
      </c>
      <c r="F79" s="79">
        <v>819</v>
      </c>
      <c r="G79" s="79">
        <v>792</v>
      </c>
      <c r="H79" s="79">
        <v>697</v>
      </c>
      <c r="I79" s="79">
        <v>743</v>
      </c>
      <c r="J79" s="90">
        <f>VLOOKUP(C79,[2]Hoja1!$A$52:$I$85,8,FALSE)</f>
        <v>916</v>
      </c>
      <c r="K79" s="90">
        <f>VLOOKUP(C79,[3]Hoja2!$A:$I,9,FALSE)</f>
        <v>965</v>
      </c>
      <c r="L79" s="90">
        <v>1107</v>
      </c>
      <c r="M79" s="90">
        <v>944</v>
      </c>
      <c r="N79" s="90">
        <v>1087</v>
      </c>
      <c r="O79" s="91">
        <v>811</v>
      </c>
      <c r="P79" s="92">
        <f t="shared" si="5"/>
        <v>10376</v>
      </c>
      <c r="Q79" s="90">
        <v>1474256</v>
      </c>
      <c r="R79" s="58">
        <f t="shared" si="6"/>
        <v>7.0381263498334077</v>
      </c>
      <c r="S79" s="133"/>
      <c r="V79" s="129"/>
      <c r="W79" s="129"/>
      <c r="X79" s="128"/>
    </row>
    <row r="80" spans="1:24" ht="15.75" thickBot="1" x14ac:dyDescent="0.3">
      <c r="A80" s="33" t="s">
        <v>221</v>
      </c>
      <c r="B80" s="33" t="s">
        <v>222</v>
      </c>
      <c r="C80" s="52" t="s">
        <v>222</v>
      </c>
      <c r="D80" s="12">
        <v>136</v>
      </c>
      <c r="E80" s="79">
        <v>154</v>
      </c>
      <c r="F80" s="79">
        <v>171</v>
      </c>
      <c r="G80" s="79">
        <v>181</v>
      </c>
      <c r="H80" s="79">
        <v>152</v>
      </c>
      <c r="I80" s="79">
        <v>131</v>
      </c>
      <c r="J80" s="90">
        <f>VLOOKUP(C80,[2]Hoja1!$A$52:$I$85,8,FALSE)</f>
        <v>119</v>
      </c>
      <c r="K80" s="90">
        <f>VLOOKUP(C80,[3]Hoja2!$A:$I,9,FALSE)</f>
        <v>196</v>
      </c>
      <c r="L80" s="90">
        <v>198</v>
      </c>
      <c r="M80" s="90">
        <v>227</v>
      </c>
      <c r="N80" s="90">
        <v>238</v>
      </c>
      <c r="O80" s="91">
        <v>176</v>
      </c>
      <c r="P80" s="92">
        <f t="shared" si="5"/>
        <v>2079</v>
      </c>
      <c r="Q80" s="90">
        <v>323093</v>
      </c>
      <c r="R80" s="58">
        <f t="shared" si="6"/>
        <v>6.434679798076715</v>
      </c>
      <c r="S80" s="133"/>
      <c r="V80" s="129"/>
      <c r="W80" s="129"/>
      <c r="X80" s="128"/>
    </row>
    <row r="81" spans="1:24" ht="15.75" thickBot="1" x14ac:dyDescent="0.3">
      <c r="A81" s="33" t="s">
        <v>219</v>
      </c>
      <c r="B81" s="33" t="s">
        <v>220</v>
      </c>
      <c r="C81" s="52" t="s">
        <v>220</v>
      </c>
      <c r="D81" s="12">
        <v>338</v>
      </c>
      <c r="E81" s="79">
        <v>391</v>
      </c>
      <c r="F81" s="79">
        <v>520</v>
      </c>
      <c r="G81" s="79">
        <v>591</v>
      </c>
      <c r="H81" s="79">
        <v>488</v>
      </c>
      <c r="I81" s="79">
        <v>397</v>
      </c>
      <c r="J81" s="90">
        <f>VLOOKUP(C81,[2]Hoja1!$A$52:$I$85,8,FALSE)</f>
        <v>456</v>
      </c>
      <c r="K81" s="90">
        <f>VLOOKUP(C81,[3]Hoja2!$A:$I,9,FALSE)</f>
        <v>509</v>
      </c>
      <c r="L81" s="90">
        <v>533</v>
      </c>
      <c r="M81" s="90">
        <v>525</v>
      </c>
      <c r="N81" s="90">
        <v>557</v>
      </c>
      <c r="O81" s="91">
        <v>422</v>
      </c>
      <c r="P81" s="92">
        <f t="shared" si="5"/>
        <v>5727</v>
      </c>
      <c r="Q81" s="90">
        <v>987567</v>
      </c>
      <c r="R81" s="58">
        <f t="shared" si="6"/>
        <v>5.799100212947577</v>
      </c>
      <c r="S81" s="133"/>
      <c r="V81" s="129"/>
      <c r="W81" s="129"/>
      <c r="X81" s="128"/>
    </row>
    <row r="82" spans="1:24" ht="15.75" thickBot="1" x14ac:dyDescent="0.3">
      <c r="A82" s="33" t="s">
        <v>199</v>
      </c>
      <c r="B82" s="33" t="s">
        <v>200</v>
      </c>
      <c r="C82" s="52" t="s">
        <v>200</v>
      </c>
      <c r="D82" s="12">
        <v>8</v>
      </c>
      <c r="E82" s="79">
        <v>7</v>
      </c>
      <c r="F82" s="79">
        <v>5</v>
      </c>
      <c r="G82" s="79">
        <v>6</v>
      </c>
      <c r="H82" s="79">
        <v>4</v>
      </c>
      <c r="I82" s="79">
        <v>4</v>
      </c>
      <c r="J82" s="90">
        <f>VLOOKUP(C82,[2]Hoja1!$A$52:$I$85,8,FALSE)</f>
        <v>9</v>
      </c>
      <c r="K82" s="90">
        <f>VLOOKUP(C82,[3]Hoja2!$A:$I,9,FALSE)</f>
        <v>25</v>
      </c>
      <c r="L82" s="90">
        <v>28</v>
      </c>
      <c r="M82" s="90">
        <v>23</v>
      </c>
      <c r="N82" s="90">
        <v>47</v>
      </c>
      <c r="O82" s="91">
        <v>19</v>
      </c>
      <c r="P82" s="92">
        <f t="shared" si="5"/>
        <v>185</v>
      </c>
      <c r="Q82" s="90">
        <v>33481</v>
      </c>
      <c r="R82" s="58">
        <f t="shared" si="6"/>
        <v>5.5255219378154772</v>
      </c>
      <c r="S82" s="133"/>
      <c r="V82" s="129"/>
      <c r="W82" s="129"/>
      <c r="X82" s="128"/>
    </row>
    <row r="83" spans="1:24" ht="15.75" thickBot="1" x14ac:dyDescent="0.3">
      <c r="A83" s="33" t="s">
        <v>215</v>
      </c>
      <c r="B83" s="33" t="s">
        <v>216</v>
      </c>
      <c r="C83" s="52" t="s">
        <v>216</v>
      </c>
      <c r="D83" s="12">
        <v>159</v>
      </c>
      <c r="E83" s="79">
        <v>154</v>
      </c>
      <c r="F83" s="79">
        <v>199</v>
      </c>
      <c r="G83" s="79">
        <v>160</v>
      </c>
      <c r="H83" s="79">
        <v>166</v>
      </c>
      <c r="I83" s="79">
        <v>158</v>
      </c>
      <c r="J83" s="90">
        <f>VLOOKUP(C83,[2]Hoja1!$A$52:$I$85,8,FALSE)</f>
        <v>179</v>
      </c>
      <c r="K83" s="90">
        <f>VLOOKUP(C83,[3]Hoja2!$A:$I,9,FALSE)</f>
        <v>187</v>
      </c>
      <c r="L83" s="90">
        <v>236</v>
      </c>
      <c r="M83" s="90">
        <v>205</v>
      </c>
      <c r="N83" s="90">
        <v>240</v>
      </c>
      <c r="O83" s="91">
        <v>171</v>
      </c>
      <c r="P83" s="92">
        <f t="shared" si="5"/>
        <v>2214</v>
      </c>
      <c r="Q83" s="90">
        <v>412181</v>
      </c>
      <c r="R83" s="58">
        <f t="shared" si="6"/>
        <v>5.3714266305336738</v>
      </c>
      <c r="S83" s="133"/>
      <c r="V83" s="129"/>
      <c r="W83" s="129"/>
      <c r="X83" s="128"/>
    </row>
    <row r="84" spans="1:24" ht="15.75" thickBot="1" x14ac:dyDescent="0.3">
      <c r="A84" s="33" t="s">
        <v>205</v>
      </c>
      <c r="B84" s="33" t="s">
        <v>206</v>
      </c>
      <c r="C84" s="52" t="s">
        <v>206</v>
      </c>
      <c r="D84" s="12">
        <v>11</v>
      </c>
      <c r="E84" s="79">
        <v>13</v>
      </c>
      <c r="F84" s="79">
        <v>22</v>
      </c>
      <c r="G84" s="79">
        <v>14</v>
      </c>
      <c r="H84" s="79">
        <v>20</v>
      </c>
      <c r="I84" s="79">
        <v>23</v>
      </c>
      <c r="J84" s="90">
        <f>VLOOKUP(C84,[2]Hoja1!$A$52:$I$85,8,FALSE)</f>
        <v>12</v>
      </c>
      <c r="K84" s="90">
        <f>VLOOKUP(C84,[3]Hoja2!$A:$I,9,FALSE)</f>
        <v>32</v>
      </c>
      <c r="L84" s="90">
        <v>23</v>
      </c>
      <c r="M84" s="90">
        <v>34</v>
      </c>
      <c r="N84" s="90">
        <v>33</v>
      </c>
      <c r="O84" s="91">
        <v>27</v>
      </c>
      <c r="P84" s="92">
        <f t="shared" si="5"/>
        <v>264</v>
      </c>
      <c r="Q84" s="90">
        <v>50038</v>
      </c>
      <c r="R84" s="58">
        <f t="shared" si="6"/>
        <v>5.2759902474119675</v>
      </c>
      <c r="S84" s="133"/>
      <c r="V84" s="129"/>
      <c r="W84" s="129"/>
      <c r="X84" s="128"/>
    </row>
    <row r="85" spans="1:24" ht="15.75" thickBot="1" x14ac:dyDescent="0.3">
      <c r="A85" s="33" t="s">
        <v>213</v>
      </c>
      <c r="B85" s="33" t="s">
        <v>214</v>
      </c>
      <c r="C85" s="52" t="s">
        <v>214</v>
      </c>
      <c r="D85" s="12">
        <v>11</v>
      </c>
      <c r="E85" s="79">
        <v>24</v>
      </c>
      <c r="F85" s="79">
        <v>38</v>
      </c>
      <c r="G85" s="79">
        <v>38</v>
      </c>
      <c r="H85" s="79">
        <v>21</v>
      </c>
      <c r="I85" s="79">
        <v>19</v>
      </c>
      <c r="J85" s="90">
        <f>VLOOKUP(C85,[2]Hoja1!$A$52:$I$85,8,FALSE)</f>
        <v>24</v>
      </c>
      <c r="K85" s="90">
        <f>VLOOKUP(C85,[3]Hoja2!$A:$I,9,FALSE)</f>
        <v>19</v>
      </c>
      <c r="L85" s="90">
        <v>26</v>
      </c>
      <c r="M85" s="90">
        <v>24</v>
      </c>
      <c r="N85" s="90">
        <v>53</v>
      </c>
      <c r="O85" s="91">
        <v>27</v>
      </c>
      <c r="P85" s="92">
        <f t="shared" si="5"/>
        <v>324</v>
      </c>
      <c r="Q85" s="90">
        <v>77565</v>
      </c>
      <c r="R85" s="58">
        <f t="shared" si="6"/>
        <v>4.1771417520789011</v>
      </c>
      <c r="S85" s="133"/>
      <c r="V85" s="129"/>
      <c r="W85" s="129"/>
      <c r="X85" s="128"/>
    </row>
    <row r="86" spans="1:24" ht="27.75" customHeight="1" thickBot="1" x14ac:dyDescent="0.3">
      <c r="A86" s="1"/>
      <c r="B86" s="34"/>
      <c r="C86" s="47" t="s">
        <v>15</v>
      </c>
      <c r="D86" s="94">
        <f t="shared" ref="D86:O86" si="7">SUM(D53:D85)</f>
        <v>72794</v>
      </c>
      <c r="E86" s="94">
        <f t="shared" si="7"/>
        <v>77757</v>
      </c>
      <c r="F86" s="94">
        <f t="shared" si="7"/>
        <v>85093</v>
      </c>
      <c r="G86" s="94">
        <f t="shared" si="7"/>
        <v>81980</v>
      </c>
      <c r="H86" s="94">
        <f t="shared" si="7"/>
        <v>72385</v>
      </c>
      <c r="I86" s="94">
        <f t="shared" si="7"/>
        <v>81817</v>
      </c>
      <c r="J86" s="94">
        <f t="shared" si="7"/>
        <v>87779</v>
      </c>
      <c r="K86" s="94">
        <f t="shared" si="7"/>
        <v>90663</v>
      </c>
      <c r="L86" s="94">
        <f t="shared" si="7"/>
        <v>95124</v>
      </c>
      <c r="M86" s="94">
        <f t="shared" si="7"/>
        <v>85871</v>
      </c>
      <c r="N86" s="94">
        <f t="shared" si="7"/>
        <v>93356</v>
      </c>
      <c r="O86" s="94">
        <f t="shared" si="7"/>
        <v>72114</v>
      </c>
      <c r="P86" s="94">
        <f>SUM(P53:P85)</f>
        <v>996733</v>
      </c>
      <c r="Q86" s="94">
        <f>SUM(Q53:Q85)</f>
        <v>49505448</v>
      </c>
      <c r="R86" s="95" t="s">
        <v>1033</v>
      </c>
    </row>
    <row r="87" spans="1:24" ht="24.75" customHeight="1" x14ac:dyDescent="0.25">
      <c r="A87" s="1"/>
      <c r="B87" s="34"/>
      <c r="C87" s="71" t="s">
        <v>730</v>
      </c>
      <c r="D87" s="70"/>
      <c r="E87" s="70"/>
      <c r="F87" s="70"/>
      <c r="G87" s="70"/>
      <c r="H87" s="70"/>
      <c r="I87" s="70"/>
      <c r="J87" s="70"/>
      <c r="K87" s="70"/>
      <c r="L87" s="70"/>
      <c r="M87" s="70"/>
      <c r="N87" s="70"/>
      <c r="O87" s="70"/>
      <c r="P87" s="70"/>
      <c r="Q87" s="70"/>
    </row>
    <row r="88" spans="1:24" ht="37.5" customHeight="1" x14ac:dyDescent="0.25">
      <c r="A88" s="1"/>
      <c r="B88" s="34"/>
      <c r="C88" s="155" t="s">
        <v>731</v>
      </c>
      <c r="D88" s="155"/>
      <c r="E88" s="155"/>
      <c r="F88" s="155"/>
      <c r="G88" s="155"/>
      <c r="H88" s="155"/>
      <c r="I88" s="155"/>
      <c r="J88" s="155"/>
      <c r="K88" s="155"/>
      <c r="L88" s="155"/>
      <c r="M88" s="155"/>
      <c r="N88" s="155"/>
      <c r="O88" s="155"/>
      <c r="P88" s="155"/>
      <c r="Q88" s="155"/>
      <c r="R88" s="155"/>
    </row>
    <row r="89" spans="1:24" ht="24.75" customHeight="1" x14ac:dyDescent="0.25">
      <c r="A89" s="1"/>
      <c r="B89" s="34"/>
      <c r="C89" s="72" t="s">
        <v>729</v>
      </c>
      <c r="D89" s="70"/>
      <c r="E89" s="70"/>
      <c r="F89" s="70"/>
      <c r="G89" s="70"/>
      <c r="H89" s="70"/>
      <c r="I89" s="70"/>
      <c r="J89" s="70"/>
      <c r="K89" s="70"/>
      <c r="L89" s="70"/>
      <c r="M89" s="70"/>
      <c r="N89" s="70"/>
      <c r="O89" s="70"/>
      <c r="P89" s="70"/>
      <c r="Q89" s="70"/>
      <c r="R89" s="127"/>
    </row>
    <row r="90" spans="1:24" x14ac:dyDescent="0.25">
      <c r="A90" s="1"/>
      <c r="B90" s="34"/>
      <c r="C90" s="151" t="s">
        <v>39</v>
      </c>
      <c r="D90" s="151"/>
      <c r="E90" s="151"/>
      <c r="F90" s="151"/>
      <c r="G90" s="151"/>
      <c r="H90" s="151"/>
      <c r="I90" s="151"/>
      <c r="J90" s="151"/>
      <c r="K90" s="151"/>
      <c r="L90" s="151"/>
      <c r="M90" s="151"/>
      <c r="N90" s="151"/>
      <c r="O90" s="151"/>
      <c r="P90" s="151"/>
      <c r="Q90" s="151"/>
      <c r="R90" s="151"/>
    </row>
    <row r="91" spans="1:24" x14ac:dyDescent="0.25">
      <c r="A91" s="1"/>
      <c r="B91" s="34"/>
      <c r="C91" s="151" t="str">
        <f>C15</f>
        <v>FUENTE: BASE DE DATOS SNS AÑO 2.021 (ENERO-DICIEMBRE)</v>
      </c>
      <c r="D91" s="151"/>
      <c r="E91" s="151"/>
      <c r="F91" s="151"/>
      <c r="G91" s="151"/>
      <c r="H91" s="151"/>
      <c r="I91" s="151"/>
      <c r="J91" s="151"/>
      <c r="K91" s="151"/>
      <c r="L91" s="151"/>
      <c r="M91" s="151"/>
      <c r="N91" s="151"/>
      <c r="O91" s="151"/>
      <c r="P91" s="151"/>
      <c r="Q91" s="151"/>
      <c r="R91" s="151"/>
    </row>
    <row r="92" spans="1:24" x14ac:dyDescent="0.25">
      <c r="A92" s="1"/>
      <c r="B92" s="34"/>
      <c r="C92"/>
      <c r="D92" s="1"/>
      <c r="E92" s="10"/>
      <c r="F92" s="10"/>
      <c r="G92" s="10"/>
      <c r="H92" s="10"/>
      <c r="I92" s="10"/>
      <c r="J92" s="10"/>
      <c r="K92" s="10"/>
      <c r="L92" s="10"/>
      <c r="M92" s="10"/>
      <c r="N92" s="10"/>
      <c r="O92" s="10"/>
      <c r="P92" s="10"/>
    </row>
    <row r="93" spans="1:24" s="13" customFormat="1" ht="15.75" x14ac:dyDescent="0.25">
      <c r="C93" s="4" t="s">
        <v>40</v>
      </c>
      <c r="E93" s="14"/>
      <c r="F93" s="14"/>
      <c r="G93" s="14"/>
      <c r="H93" s="14"/>
      <c r="I93" s="14"/>
      <c r="J93" s="14"/>
      <c r="K93" s="14"/>
      <c r="L93" s="14"/>
      <c r="M93" s="14"/>
      <c r="N93" s="14"/>
      <c r="O93" s="14"/>
      <c r="P93" s="14"/>
      <c r="Q93" s="3"/>
      <c r="R93" s="35"/>
    </row>
    <row r="94" spans="1:24" s="13" customFormat="1" ht="16.5" thickBot="1" x14ac:dyDescent="0.3">
      <c r="C94" s="4"/>
      <c r="E94" s="14"/>
      <c r="F94" s="14"/>
      <c r="G94" s="14"/>
      <c r="H94" s="14"/>
      <c r="I94" s="14"/>
      <c r="J94" s="14"/>
      <c r="K94" s="14"/>
      <c r="L94" s="14"/>
      <c r="M94" s="14"/>
      <c r="N94" s="14"/>
      <c r="O94" s="14"/>
      <c r="P94" s="14"/>
      <c r="Q94" s="3"/>
      <c r="R94" s="35"/>
    </row>
    <row r="95" spans="1:24" s="13" customFormat="1" ht="15.75" thickBot="1" x14ac:dyDescent="0.3">
      <c r="C95" s="165" t="str">
        <f>+C51</f>
        <v>CÁLCULO DE TASA CON EL NÚMERO DE AFILIADOS DEL ÚLTIMO MES</v>
      </c>
      <c r="D95" s="166"/>
      <c r="E95" s="166"/>
      <c r="F95" s="166"/>
      <c r="G95" s="166"/>
      <c r="H95" s="166"/>
      <c r="I95" s="166"/>
      <c r="J95" s="166"/>
      <c r="K95" s="166"/>
      <c r="L95" s="166"/>
      <c r="M95" s="166"/>
      <c r="N95" s="166"/>
      <c r="O95" s="166"/>
      <c r="P95" s="166"/>
      <c r="Q95" s="166"/>
      <c r="R95" s="167"/>
    </row>
    <row r="96" spans="1:24" ht="48" customHeight="1" thickBot="1" x14ac:dyDescent="0.3">
      <c r="A96" s="11" t="s">
        <v>223</v>
      </c>
      <c r="B96" s="36" t="s">
        <v>223</v>
      </c>
      <c r="C96" s="47" t="s">
        <v>41</v>
      </c>
      <c r="D96" s="48" t="s">
        <v>2</v>
      </c>
      <c r="E96" s="48" t="s">
        <v>3</v>
      </c>
      <c r="F96" s="48" t="s">
        <v>4</v>
      </c>
      <c r="G96" s="48" t="s">
        <v>5</v>
      </c>
      <c r="H96" s="48" t="s">
        <v>6</v>
      </c>
      <c r="I96" s="48" t="s">
        <v>7</v>
      </c>
      <c r="J96" s="48" t="s">
        <v>8</v>
      </c>
      <c r="K96" s="48" t="s">
        <v>9</v>
      </c>
      <c r="L96" s="48" t="s">
        <v>10</v>
      </c>
      <c r="M96" s="48" t="s">
        <v>11</v>
      </c>
      <c r="N96" s="48" t="s">
        <v>12</v>
      </c>
      <c r="O96" s="48" t="s">
        <v>13</v>
      </c>
      <c r="P96" s="49" t="str">
        <f>+P52</f>
        <v>*TOTAL PQRD 2021</v>
      </c>
      <c r="Q96" s="49" t="str">
        <f>Q52</f>
        <v>*AFILIADOS DICIEMBRE 2021</v>
      </c>
      <c r="R96" s="53" t="s">
        <v>158</v>
      </c>
    </row>
    <row r="97" spans="1:20" ht="15.75" thickBot="1" x14ac:dyDescent="0.3">
      <c r="A97" s="37" t="s">
        <v>228</v>
      </c>
      <c r="B97" s="36" t="s">
        <v>696</v>
      </c>
      <c r="C97" s="44" t="s">
        <v>46</v>
      </c>
      <c r="D97" s="45">
        <v>1702</v>
      </c>
      <c r="E97" s="77">
        <v>1821</v>
      </c>
      <c r="F97" s="77">
        <v>2019</v>
      </c>
      <c r="G97" s="77">
        <v>1845</v>
      </c>
      <c r="H97" s="77">
        <v>1481</v>
      </c>
      <c r="I97" s="77">
        <v>1760</v>
      </c>
      <c r="J97" s="77">
        <v>2004</v>
      </c>
      <c r="K97" s="77">
        <v>2015</v>
      </c>
      <c r="L97" s="77">
        <v>2118</v>
      </c>
      <c r="M97" s="77">
        <v>1751</v>
      </c>
      <c r="N97" s="77">
        <v>2006</v>
      </c>
      <c r="O97" s="77">
        <v>1733</v>
      </c>
      <c r="P97" s="77">
        <f t="shared" ref="P97:P128" si="8">SUM(D97:O97)</f>
        <v>22255</v>
      </c>
      <c r="Q97" s="92">
        <v>577517</v>
      </c>
      <c r="R97" s="96">
        <f t="shared" ref="R97:R128" si="9">+P97/Q97*1000</f>
        <v>38.535662153668198</v>
      </c>
      <c r="S97" s="133"/>
      <c r="T97" s="130"/>
    </row>
    <row r="98" spans="1:20" ht="15.75" thickBot="1" x14ac:dyDescent="0.3">
      <c r="A98" s="37" t="s">
        <v>224</v>
      </c>
      <c r="B98" s="36" t="s">
        <v>694</v>
      </c>
      <c r="C98" s="44" t="s">
        <v>42</v>
      </c>
      <c r="D98" s="45">
        <v>953</v>
      </c>
      <c r="E98" s="77">
        <v>1005</v>
      </c>
      <c r="F98" s="77">
        <v>1138</v>
      </c>
      <c r="G98" s="77">
        <v>1115</v>
      </c>
      <c r="H98" s="77">
        <v>729</v>
      </c>
      <c r="I98" s="77">
        <v>827</v>
      </c>
      <c r="J98" s="77">
        <v>1143</v>
      </c>
      <c r="K98" s="77">
        <v>1105</v>
      </c>
      <c r="L98" s="77">
        <v>1123</v>
      </c>
      <c r="M98" s="77">
        <v>1013</v>
      </c>
      <c r="N98" s="77">
        <v>1129</v>
      </c>
      <c r="O98" s="77">
        <v>806</v>
      </c>
      <c r="P98" s="77">
        <f t="shared" si="8"/>
        <v>12086</v>
      </c>
      <c r="Q98" s="92">
        <v>321729</v>
      </c>
      <c r="R98" s="96">
        <f t="shared" si="9"/>
        <v>37.565777408937336</v>
      </c>
      <c r="S98" s="133"/>
      <c r="T98" s="130"/>
    </row>
    <row r="99" spans="1:20" ht="15.75" thickBot="1" x14ac:dyDescent="0.3">
      <c r="A99" s="37" t="s">
        <v>231</v>
      </c>
      <c r="B99" s="36" t="s">
        <v>701</v>
      </c>
      <c r="C99" s="44" t="s">
        <v>49</v>
      </c>
      <c r="D99" s="45">
        <v>6498</v>
      </c>
      <c r="E99" s="77">
        <v>7051</v>
      </c>
      <c r="F99" s="77">
        <v>7120</v>
      </c>
      <c r="G99" s="77">
        <v>7046</v>
      </c>
      <c r="H99" s="77">
        <v>4934</v>
      </c>
      <c r="I99" s="77">
        <v>6655</v>
      </c>
      <c r="J99" s="77">
        <v>7617</v>
      </c>
      <c r="K99" s="77">
        <v>7717</v>
      </c>
      <c r="L99" s="77">
        <v>7828</v>
      </c>
      <c r="M99" s="77">
        <v>7121</v>
      </c>
      <c r="N99" s="77">
        <v>7840</v>
      </c>
      <c r="O99" s="77">
        <v>5831</v>
      </c>
      <c r="P99" s="77">
        <f t="shared" si="8"/>
        <v>83258</v>
      </c>
      <c r="Q99" s="92">
        <v>2449618</v>
      </c>
      <c r="R99" s="96">
        <f t="shared" si="9"/>
        <v>33.988156520730982</v>
      </c>
      <c r="S99" s="133"/>
      <c r="T99" s="130"/>
    </row>
    <row r="100" spans="1:20" ht="15.75" thickBot="1" x14ac:dyDescent="0.3">
      <c r="A100" s="37" t="s">
        <v>229</v>
      </c>
      <c r="B100" s="36" t="s">
        <v>695</v>
      </c>
      <c r="C100" s="44" t="s">
        <v>47</v>
      </c>
      <c r="D100" s="45">
        <v>926</v>
      </c>
      <c r="E100" s="77">
        <v>979</v>
      </c>
      <c r="F100" s="77">
        <v>1131</v>
      </c>
      <c r="G100" s="77">
        <v>1200</v>
      </c>
      <c r="H100" s="77">
        <v>1106</v>
      </c>
      <c r="I100" s="77">
        <v>1263</v>
      </c>
      <c r="J100" s="77">
        <v>1206</v>
      </c>
      <c r="K100" s="77">
        <v>1444</v>
      </c>
      <c r="L100" s="77">
        <v>1484</v>
      </c>
      <c r="M100" s="77">
        <v>1286</v>
      </c>
      <c r="N100" s="77">
        <v>1368</v>
      </c>
      <c r="O100" s="77">
        <v>995</v>
      </c>
      <c r="P100" s="77">
        <f t="shared" si="8"/>
        <v>14388</v>
      </c>
      <c r="Q100" s="92">
        <v>437090</v>
      </c>
      <c r="R100" s="96">
        <f t="shared" si="9"/>
        <v>32.917705735660853</v>
      </c>
      <c r="S100" s="133"/>
      <c r="T100" s="130"/>
    </row>
    <row r="101" spans="1:20" ht="15.75" thickBot="1" x14ac:dyDescent="0.3">
      <c r="A101" s="37" t="s">
        <v>227</v>
      </c>
      <c r="B101" s="36" t="s">
        <v>693</v>
      </c>
      <c r="C101" s="44" t="s">
        <v>45</v>
      </c>
      <c r="D101" s="45">
        <v>864</v>
      </c>
      <c r="E101" s="77">
        <v>894</v>
      </c>
      <c r="F101" s="77">
        <v>1046</v>
      </c>
      <c r="G101" s="77">
        <v>864</v>
      </c>
      <c r="H101" s="77">
        <v>824</v>
      </c>
      <c r="I101" s="77">
        <v>943</v>
      </c>
      <c r="J101" s="77">
        <v>975</v>
      </c>
      <c r="K101" s="77">
        <v>1011</v>
      </c>
      <c r="L101" s="77">
        <v>1066</v>
      </c>
      <c r="M101" s="77">
        <v>981</v>
      </c>
      <c r="N101" s="77">
        <v>1036</v>
      </c>
      <c r="O101" s="77">
        <v>793</v>
      </c>
      <c r="P101" s="77">
        <f t="shared" si="8"/>
        <v>11297</v>
      </c>
      <c r="Q101" s="92">
        <v>356758</v>
      </c>
      <c r="R101" s="96">
        <f t="shared" si="9"/>
        <v>31.665722983086571</v>
      </c>
      <c r="S101" s="133"/>
      <c r="T101" s="130"/>
    </row>
    <row r="102" spans="1:20" ht="15.75" thickBot="1" x14ac:dyDescent="0.3">
      <c r="A102" s="37" t="s">
        <v>230</v>
      </c>
      <c r="B102" s="36" t="s">
        <v>698</v>
      </c>
      <c r="C102" s="44" t="s">
        <v>48</v>
      </c>
      <c r="D102" s="45">
        <v>1320</v>
      </c>
      <c r="E102" s="77">
        <v>1446</v>
      </c>
      <c r="F102" s="77">
        <v>1442</v>
      </c>
      <c r="G102" s="77">
        <v>1434</v>
      </c>
      <c r="H102" s="77">
        <v>1258</v>
      </c>
      <c r="I102" s="77">
        <v>1409</v>
      </c>
      <c r="J102" s="77">
        <v>1597</v>
      </c>
      <c r="K102" s="77">
        <v>1652</v>
      </c>
      <c r="L102" s="77">
        <v>1681</v>
      </c>
      <c r="M102" s="77">
        <v>1626</v>
      </c>
      <c r="N102" s="77">
        <v>1635</v>
      </c>
      <c r="O102" s="77">
        <v>1146</v>
      </c>
      <c r="P102" s="77">
        <f t="shared" si="8"/>
        <v>17646</v>
      </c>
      <c r="Q102" s="92">
        <v>588448</v>
      </c>
      <c r="R102" s="96">
        <f t="shared" si="9"/>
        <v>29.987356571863614</v>
      </c>
      <c r="S102" s="133"/>
      <c r="T102" s="130"/>
    </row>
    <row r="103" spans="1:20" ht="15.75" thickBot="1" x14ac:dyDescent="0.3">
      <c r="A103" s="37" t="s">
        <v>233</v>
      </c>
      <c r="B103" s="36" t="s">
        <v>699</v>
      </c>
      <c r="C103" s="44" t="s">
        <v>51</v>
      </c>
      <c r="D103" s="45">
        <v>6098</v>
      </c>
      <c r="E103" s="77">
        <v>6569</v>
      </c>
      <c r="F103" s="77">
        <v>7330</v>
      </c>
      <c r="G103" s="77">
        <v>6628</v>
      </c>
      <c r="H103" s="77">
        <v>6172</v>
      </c>
      <c r="I103" s="77">
        <v>6811</v>
      </c>
      <c r="J103" s="77">
        <v>7475</v>
      </c>
      <c r="K103" s="77">
        <v>7577</v>
      </c>
      <c r="L103" s="77">
        <v>8287</v>
      </c>
      <c r="M103" s="77">
        <v>7512</v>
      </c>
      <c r="N103" s="77">
        <v>8281</v>
      </c>
      <c r="O103" s="77">
        <v>6802</v>
      </c>
      <c r="P103" s="77">
        <f t="shared" si="8"/>
        <v>85542</v>
      </c>
      <c r="Q103" s="92">
        <v>2903157</v>
      </c>
      <c r="R103" s="96">
        <f t="shared" si="9"/>
        <v>29.465164991076954</v>
      </c>
      <c r="S103" s="133"/>
      <c r="T103" s="130"/>
    </row>
    <row r="104" spans="1:20" ht="15.75" thickBot="1" x14ac:dyDescent="0.3">
      <c r="A104" s="37" t="s">
        <v>226</v>
      </c>
      <c r="B104" s="36" t="s">
        <v>697</v>
      </c>
      <c r="C104" s="44" t="s">
        <v>44</v>
      </c>
      <c r="D104" s="45">
        <v>1441</v>
      </c>
      <c r="E104" s="77">
        <v>1497</v>
      </c>
      <c r="F104" s="77">
        <v>1722</v>
      </c>
      <c r="G104" s="77">
        <v>1540</v>
      </c>
      <c r="H104" s="77">
        <v>1602</v>
      </c>
      <c r="I104" s="77">
        <v>1931</v>
      </c>
      <c r="J104" s="77">
        <v>1789</v>
      </c>
      <c r="K104" s="77">
        <v>1866</v>
      </c>
      <c r="L104" s="77">
        <v>1993</v>
      </c>
      <c r="M104" s="77">
        <v>1966</v>
      </c>
      <c r="N104" s="77">
        <v>2258</v>
      </c>
      <c r="O104" s="77">
        <v>1784</v>
      </c>
      <c r="P104" s="77">
        <f t="shared" si="8"/>
        <v>21389</v>
      </c>
      <c r="Q104" s="92">
        <v>764057</v>
      </c>
      <c r="R104" s="96">
        <f t="shared" si="9"/>
        <v>27.993984741976057</v>
      </c>
      <c r="S104" s="133"/>
      <c r="T104" s="130"/>
    </row>
    <row r="105" spans="1:20" ht="15.75" thickBot="1" x14ac:dyDescent="0.3">
      <c r="A105" s="37" t="s">
        <v>232</v>
      </c>
      <c r="B105" s="36" t="s">
        <v>702</v>
      </c>
      <c r="C105" s="44" t="s">
        <v>50</v>
      </c>
      <c r="D105" s="45">
        <v>17983</v>
      </c>
      <c r="E105" s="77">
        <v>18423</v>
      </c>
      <c r="F105" s="77">
        <v>18932</v>
      </c>
      <c r="G105" s="77">
        <v>18620</v>
      </c>
      <c r="H105" s="77">
        <v>18557</v>
      </c>
      <c r="I105" s="77">
        <v>20962</v>
      </c>
      <c r="J105" s="77">
        <v>20617</v>
      </c>
      <c r="K105" s="77">
        <v>19681</v>
      </c>
      <c r="L105" s="77">
        <v>20040</v>
      </c>
      <c r="M105" s="77">
        <v>18279</v>
      </c>
      <c r="N105" s="77">
        <v>19483</v>
      </c>
      <c r="O105" s="77">
        <v>14665</v>
      </c>
      <c r="P105" s="77">
        <f t="shared" si="8"/>
        <v>226242</v>
      </c>
      <c r="Q105" s="92">
        <v>8104437</v>
      </c>
      <c r="R105" s="96">
        <f t="shared" si="9"/>
        <v>27.915819445570371</v>
      </c>
      <c r="S105" s="133"/>
      <c r="T105" s="130"/>
    </row>
    <row r="106" spans="1:20" ht="15.75" thickBot="1" x14ac:dyDescent="0.3">
      <c r="A106" s="37" t="s">
        <v>225</v>
      </c>
      <c r="B106" s="36" t="s">
        <v>692</v>
      </c>
      <c r="C106" s="44" t="s">
        <v>43</v>
      </c>
      <c r="D106" s="45">
        <v>663</v>
      </c>
      <c r="E106" s="77">
        <v>738</v>
      </c>
      <c r="F106" s="77">
        <v>919</v>
      </c>
      <c r="G106" s="77">
        <v>953</v>
      </c>
      <c r="H106" s="77">
        <v>727</v>
      </c>
      <c r="I106" s="77">
        <v>993</v>
      </c>
      <c r="J106" s="77">
        <v>988</v>
      </c>
      <c r="K106" s="77">
        <v>1039</v>
      </c>
      <c r="L106" s="77">
        <v>1073</v>
      </c>
      <c r="M106" s="77">
        <v>1059</v>
      </c>
      <c r="N106" s="77">
        <v>1117</v>
      </c>
      <c r="O106" s="77">
        <v>945</v>
      </c>
      <c r="P106" s="77">
        <f t="shared" si="8"/>
        <v>11214</v>
      </c>
      <c r="Q106" s="92">
        <v>414745</v>
      </c>
      <c r="R106" s="96">
        <f t="shared" si="9"/>
        <v>27.038300642563502</v>
      </c>
      <c r="S106" s="133"/>
      <c r="T106" s="130"/>
    </row>
    <row r="107" spans="1:20" ht="15.75" thickBot="1" x14ac:dyDescent="0.3">
      <c r="A107" s="37" t="s">
        <v>234</v>
      </c>
      <c r="B107" s="36" t="s">
        <v>700</v>
      </c>
      <c r="C107" s="44" t="s">
        <v>52</v>
      </c>
      <c r="D107" s="45">
        <v>810</v>
      </c>
      <c r="E107" s="77">
        <v>981</v>
      </c>
      <c r="F107" s="77">
        <v>1109</v>
      </c>
      <c r="G107" s="77">
        <v>1084</v>
      </c>
      <c r="H107" s="77">
        <v>1042</v>
      </c>
      <c r="I107" s="77">
        <v>1146</v>
      </c>
      <c r="J107" s="77">
        <v>1245</v>
      </c>
      <c r="K107" s="77">
        <v>1285</v>
      </c>
      <c r="L107" s="77">
        <v>1363</v>
      </c>
      <c r="M107" s="77">
        <v>1175</v>
      </c>
      <c r="N107" s="77">
        <v>1194</v>
      </c>
      <c r="O107" s="77">
        <v>905</v>
      </c>
      <c r="P107" s="77">
        <f t="shared" si="8"/>
        <v>13339</v>
      </c>
      <c r="Q107" s="92">
        <v>553684</v>
      </c>
      <c r="R107" s="96">
        <f t="shared" si="9"/>
        <v>24.091358970098469</v>
      </c>
      <c r="S107" s="133"/>
      <c r="T107" s="130"/>
    </row>
    <row r="108" spans="1:20" ht="15.75" thickBot="1" x14ac:dyDescent="0.3">
      <c r="A108" s="37" t="s">
        <v>237</v>
      </c>
      <c r="B108" s="36" t="s">
        <v>705</v>
      </c>
      <c r="C108" s="44" t="s">
        <v>55</v>
      </c>
      <c r="D108" s="45">
        <v>2794</v>
      </c>
      <c r="E108" s="77">
        <v>3000</v>
      </c>
      <c r="F108" s="77">
        <v>3900</v>
      </c>
      <c r="G108" s="77">
        <v>3983</v>
      </c>
      <c r="H108" s="77">
        <v>2897</v>
      </c>
      <c r="I108" s="77">
        <v>2737</v>
      </c>
      <c r="J108" s="77">
        <v>3050</v>
      </c>
      <c r="K108" s="77">
        <v>3191</v>
      </c>
      <c r="L108" s="77">
        <v>3114</v>
      </c>
      <c r="M108" s="77">
        <v>2704</v>
      </c>
      <c r="N108" s="77">
        <v>3120</v>
      </c>
      <c r="O108" s="77">
        <v>2502</v>
      </c>
      <c r="P108" s="77">
        <f t="shared" si="8"/>
        <v>36992</v>
      </c>
      <c r="Q108" s="92">
        <v>1563375</v>
      </c>
      <c r="R108" s="96">
        <f t="shared" si="9"/>
        <v>23.661629487487005</v>
      </c>
      <c r="S108" s="133"/>
      <c r="T108" s="130"/>
    </row>
    <row r="109" spans="1:20" ht="15.75" thickBot="1" x14ac:dyDescent="0.3">
      <c r="A109" s="37" t="s">
        <v>236</v>
      </c>
      <c r="B109" s="36" t="s">
        <v>708</v>
      </c>
      <c r="C109" s="44" t="s">
        <v>54</v>
      </c>
      <c r="D109" s="45">
        <v>294</v>
      </c>
      <c r="E109" s="77">
        <v>341</v>
      </c>
      <c r="F109" s="77">
        <v>315</v>
      </c>
      <c r="G109" s="77">
        <v>392</v>
      </c>
      <c r="H109" s="77">
        <v>326</v>
      </c>
      <c r="I109" s="77">
        <v>344</v>
      </c>
      <c r="J109" s="77">
        <v>396</v>
      </c>
      <c r="K109" s="77">
        <v>463</v>
      </c>
      <c r="L109" s="77">
        <v>444</v>
      </c>
      <c r="M109" s="77">
        <v>448</v>
      </c>
      <c r="N109" s="77">
        <v>468</v>
      </c>
      <c r="O109" s="77">
        <v>407</v>
      </c>
      <c r="P109" s="77">
        <f t="shared" si="8"/>
        <v>4638</v>
      </c>
      <c r="Q109" s="92">
        <v>209493</v>
      </c>
      <c r="R109" s="96">
        <f t="shared" si="9"/>
        <v>22.139164554424251</v>
      </c>
      <c r="S109" s="133"/>
      <c r="T109" s="130"/>
    </row>
    <row r="110" spans="1:20" ht="15.75" thickBot="1" x14ac:dyDescent="0.3">
      <c r="A110" s="37" t="s">
        <v>235</v>
      </c>
      <c r="B110" s="36" t="s">
        <v>707</v>
      </c>
      <c r="C110" s="44" t="s">
        <v>53</v>
      </c>
      <c r="D110" s="45">
        <v>165</v>
      </c>
      <c r="E110" s="77">
        <v>214</v>
      </c>
      <c r="F110" s="77">
        <v>253</v>
      </c>
      <c r="G110" s="77">
        <v>205</v>
      </c>
      <c r="H110" s="77">
        <v>200</v>
      </c>
      <c r="I110" s="77">
        <v>229</v>
      </c>
      <c r="J110" s="77">
        <v>228</v>
      </c>
      <c r="K110" s="77">
        <v>261</v>
      </c>
      <c r="L110" s="77">
        <v>270</v>
      </c>
      <c r="M110" s="77">
        <v>304</v>
      </c>
      <c r="N110" s="77">
        <v>355</v>
      </c>
      <c r="O110" s="77">
        <v>237</v>
      </c>
      <c r="P110" s="77">
        <f t="shared" si="8"/>
        <v>2921</v>
      </c>
      <c r="Q110" s="92">
        <v>149158</v>
      </c>
      <c r="R110" s="96">
        <f t="shared" si="9"/>
        <v>19.583260703415171</v>
      </c>
      <c r="S110" s="133"/>
      <c r="T110" s="130"/>
    </row>
    <row r="111" spans="1:20" ht="15.75" thickBot="1" x14ac:dyDescent="0.3">
      <c r="A111" s="37" t="s">
        <v>243</v>
      </c>
      <c r="B111" s="36" t="s">
        <v>710</v>
      </c>
      <c r="C111" s="44" t="s">
        <v>61</v>
      </c>
      <c r="D111" s="45">
        <v>254</v>
      </c>
      <c r="E111" s="77">
        <v>225</v>
      </c>
      <c r="F111" s="77">
        <v>280</v>
      </c>
      <c r="G111" s="77">
        <v>252</v>
      </c>
      <c r="H111" s="77">
        <v>254</v>
      </c>
      <c r="I111" s="77">
        <v>319</v>
      </c>
      <c r="J111" s="77">
        <v>337</v>
      </c>
      <c r="K111" s="77">
        <v>333</v>
      </c>
      <c r="L111" s="77">
        <v>336</v>
      </c>
      <c r="M111" s="77">
        <v>476</v>
      </c>
      <c r="N111" s="77">
        <v>363</v>
      </c>
      <c r="O111" s="77">
        <v>262</v>
      </c>
      <c r="P111" s="77">
        <f t="shared" si="8"/>
        <v>3691</v>
      </c>
      <c r="Q111" s="92">
        <v>188882</v>
      </c>
      <c r="R111" s="96">
        <f t="shared" si="9"/>
        <v>19.541300918033482</v>
      </c>
      <c r="S111" s="133"/>
      <c r="T111" s="130"/>
    </row>
    <row r="112" spans="1:20" ht="15.75" thickBot="1" x14ac:dyDescent="0.3">
      <c r="A112" s="37" t="s">
        <v>240</v>
      </c>
      <c r="B112" s="36" t="s">
        <v>711</v>
      </c>
      <c r="C112" s="44" t="s">
        <v>58</v>
      </c>
      <c r="D112" s="45">
        <v>761</v>
      </c>
      <c r="E112" s="77">
        <v>835</v>
      </c>
      <c r="F112" s="77">
        <v>925</v>
      </c>
      <c r="G112" s="77">
        <v>916</v>
      </c>
      <c r="H112" s="77">
        <v>817</v>
      </c>
      <c r="I112" s="77">
        <v>847</v>
      </c>
      <c r="J112" s="77">
        <v>837</v>
      </c>
      <c r="K112" s="77">
        <v>858</v>
      </c>
      <c r="L112" s="77">
        <v>940</v>
      </c>
      <c r="M112" s="77">
        <v>673</v>
      </c>
      <c r="N112" s="77">
        <v>810</v>
      </c>
      <c r="O112" s="77">
        <v>617</v>
      </c>
      <c r="P112" s="77">
        <f t="shared" si="8"/>
        <v>9836</v>
      </c>
      <c r="Q112" s="92">
        <v>538816</v>
      </c>
      <c r="R112" s="96">
        <f t="shared" si="9"/>
        <v>18.254840242309061</v>
      </c>
      <c r="S112" s="133"/>
      <c r="T112" s="130"/>
    </row>
    <row r="113" spans="1:20" ht="15.75" thickBot="1" x14ac:dyDescent="0.3">
      <c r="A113" s="37" t="s">
        <v>248</v>
      </c>
      <c r="B113" s="36" t="s">
        <v>715</v>
      </c>
      <c r="C113" s="44" t="s">
        <v>66</v>
      </c>
      <c r="D113" s="45">
        <v>1073</v>
      </c>
      <c r="E113" s="77">
        <v>881</v>
      </c>
      <c r="F113" s="77">
        <v>1058</v>
      </c>
      <c r="G113" s="77">
        <v>1145</v>
      </c>
      <c r="H113" s="77">
        <v>1055</v>
      </c>
      <c r="I113" s="77">
        <v>1076</v>
      </c>
      <c r="J113" s="77">
        <v>1293</v>
      </c>
      <c r="K113" s="77">
        <v>1317</v>
      </c>
      <c r="L113" s="77">
        <v>1543</v>
      </c>
      <c r="M113" s="77">
        <v>1417</v>
      </c>
      <c r="N113" s="77">
        <v>1482</v>
      </c>
      <c r="O113" s="77">
        <v>1176</v>
      </c>
      <c r="P113" s="77">
        <f t="shared" si="8"/>
        <v>14516</v>
      </c>
      <c r="Q113" s="92">
        <v>863575</v>
      </c>
      <c r="R113" s="96">
        <f t="shared" si="9"/>
        <v>16.8091943374924</v>
      </c>
      <c r="S113" s="133"/>
      <c r="T113" s="130"/>
    </row>
    <row r="114" spans="1:20" ht="15.75" thickBot="1" x14ac:dyDescent="0.3">
      <c r="A114" s="37" t="s">
        <v>242</v>
      </c>
      <c r="B114" s="36" t="s">
        <v>713</v>
      </c>
      <c r="C114" s="44" t="s">
        <v>60</v>
      </c>
      <c r="D114" s="45">
        <v>323</v>
      </c>
      <c r="E114" s="77">
        <v>390</v>
      </c>
      <c r="F114" s="77">
        <v>470</v>
      </c>
      <c r="G114" s="77">
        <v>426</v>
      </c>
      <c r="H114" s="77">
        <v>416</v>
      </c>
      <c r="I114" s="77">
        <v>499</v>
      </c>
      <c r="J114" s="77">
        <v>531</v>
      </c>
      <c r="K114" s="77">
        <v>541</v>
      </c>
      <c r="L114" s="77">
        <v>551</v>
      </c>
      <c r="M114" s="77">
        <v>567</v>
      </c>
      <c r="N114" s="77">
        <v>595</v>
      </c>
      <c r="O114" s="77">
        <v>430</v>
      </c>
      <c r="P114" s="77">
        <f t="shared" si="8"/>
        <v>5739</v>
      </c>
      <c r="Q114" s="92">
        <v>351807</v>
      </c>
      <c r="R114" s="96">
        <f t="shared" si="9"/>
        <v>16.312921573476366</v>
      </c>
      <c r="S114" s="133"/>
      <c r="T114" s="130"/>
    </row>
    <row r="115" spans="1:20" ht="15.75" thickBot="1" x14ac:dyDescent="0.3">
      <c r="A115" s="37" t="s">
        <v>246</v>
      </c>
      <c r="B115" s="36" t="s">
        <v>703</v>
      </c>
      <c r="C115" s="44" t="s">
        <v>64</v>
      </c>
      <c r="D115" s="45">
        <v>307</v>
      </c>
      <c r="E115" s="77">
        <v>35</v>
      </c>
      <c r="F115" s="77">
        <v>52</v>
      </c>
      <c r="G115" s="77">
        <v>67</v>
      </c>
      <c r="H115" s="77">
        <v>56</v>
      </c>
      <c r="I115" s="77">
        <v>60</v>
      </c>
      <c r="J115" s="77">
        <v>51</v>
      </c>
      <c r="K115" s="77">
        <v>74</v>
      </c>
      <c r="L115" s="77">
        <v>68</v>
      </c>
      <c r="M115" s="77">
        <v>63</v>
      </c>
      <c r="N115" s="77">
        <v>63</v>
      </c>
      <c r="O115" s="77">
        <v>59</v>
      </c>
      <c r="P115" s="77">
        <f t="shared" si="8"/>
        <v>955</v>
      </c>
      <c r="Q115" s="92">
        <v>59251</v>
      </c>
      <c r="R115" s="96">
        <f t="shared" si="9"/>
        <v>16.117871428330325</v>
      </c>
      <c r="S115" s="133"/>
      <c r="T115" s="130"/>
    </row>
    <row r="116" spans="1:20" ht="15.75" thickBot="1" x14ac:dyDescent="0.3">
      <c r="A116" s="37" t="s">
        <v>253</v>
      </c>
      <c r="B116" s="36" t="s">
        <v>720</v>
      </c>
      <c r="C116" s="44" t="s">
        <v>71</v>
      </c>
      <c r="D116" s="45">
        <v>1485</v>
      </c>
      <c r="E116" s="77">
        <v>1663</v>
      </c>
      <c r="F116" s="77">
        <v>1594</v>
      </c>
      <c r="G116" s="77">
        <v>1501</v>
      </c>
      <c r="H116" s="77">
        <v>1663</v>
      </c>
      <c r="I116" s="77">
        <v>1797</v>
      </c>
      <c r="J116" s="77">
        <v>1838</v>
      </c>
      <c r="K116" s="77">
        <v>1733</v>
      </c>
      <c r="L116" s="77">
        <v>1739</v>
      </c>
      <c r="M116" s="77">
        <v>1610</v>
      </c>
      <c r="N116" s="77">
        <v>1603</v>
      </c>
      <c r="O116" s="77">
        <v>1185</v>
      </c>
      <c r="P116" s="77">
        <f t="shared" si="8"/>
        <v>19411</v>
      </c>
      <c r="Q116" s="92">
        <v>1204458</v>
      </c>
      <c r="R116" s="96">
        <f t="shared" si="9"/>
        <v>16.115962532525003</v>
      </c>
      <c r="S116" s="133"/>
      <c r="T116" s="130"/>
    </row>
    <row r="117" spans="1:20" ht="15.75" thickBot="1" x14ac:dyDescent="0.3">
      <c r="A117" s="37" t="s">
        <v>250</v>
      </c>
      <c r="B117" s="36" t="s">
        <v>716</v>
      </c>
      <c r="C117" s="44" t="s">
        <v>68</v>
      </c>
      <c r="D117" s="45">
        <v>845</v>
      </c>
      <c r="E117" s="77">
        <v>696</v>
      </c>
      <c r="F117" s="77">
        <v>920</v>
      </c>
      <c r="G117" s="77">
        <v>902</v>
      </c>
      <c r="H117" s="77">
        <v>741</v>
      </c>
      <c r="I117" s="77">
        <v>714</v>
      </c>
      <c r="J117" s="77">
        <v>742</v>
      </c>
      <c r="K117" s="77">
        <v>794</v>
      </c>
      <c r="L117" s="77">
        <v>764</v>
      </c>
      <c r="M117" s="77">
        <v>686</v>
      </c>
      <c r="N117" s="77">
        <v>717</v>
      </c>
      <c r="O117" s="77">
        <v>577</v>
      </c>
      <c r="P117" s="77">
        <f t="shared" si="8"/>
        <v>9098</v>
      </c>
      <c r="Q117" s="92">
        <v>570940</v>
      </c>
      <c r="R117" s="96">
        <f t="shared" si="9"/>
        <v>15.935124531474411</v>
      </c>
      <c r="S117" s="133"/>
      <c r="T117" s="130"/>
    </row>
    <row r="118" spans="1:20" ht="15.75" thickBot="1" x14ac:dyDescent="0.3">
      <c r="A118" s="37" t="s">
        <v>245</v>
      </c>
      <c r="B118" s="36" t="s">
        <v>714</v>
      </c>
      <c r="C118" s="44" t="s">
        <v>63</v>
      </c>
      <c r="D118" s="45">
        <v>439</v>
      </c>
      <c r="E118" s="77">
        <v>424</v>
      </c>
      <c r="F118" s="77">
        <v>419</v>
      </c>
      <c r="G118" s="77">
        <v>445</v>
      </c>
      <c r="H118" s="77">
        <v>411</v>
      </c>
      <c r="I118" s="77">
        <v>456</v>
      </c>
      <c r="J118" s="77">
        <v>527</v>
      </c>
      <c r="K118" s="77">
        <v>563</v>
      </c>
      <c r="L118" s="77">
        <v>622</v>
      </c>
      <c r="M118" s="77">
        <v>523</v>
      </c>
      <c r="N118" s="77">
        <v>571</v>
      </c>
      <c r="O118" s="77">
        <v>467</v>
      </c>
      <c r="P118" s="77">
        <f t="shared" si="8"/>
        <v>5867</v>
      </c>
      <c r="Q118" s="92">
        <v>429260</v>
      </c>
      <c r="R118" s="96">
        <f t="shared" si="9"/>
        <v>13.667707217071239</v>
      </c>
      <c r="S118" s="133"/>
      <c r="T118" s="130"/>
    </row>
    <row r="119" spans="1:20" ht="15.75" thickBot="1" x14ac:dyDescent="0.3">
      <c r="A119" s="37" t="s">
        <v>241</v>
      </c>
      <c r="B119" s="36" t="s">
        <v>712</v>
      </c>
      <c r="C119" s="44" t="s">
        <v>59</v>
      </c>
      <c r="D119" s="45">
        <v>67</v>
      </c>
      <c r="E119" s="77">
        <v>61</v>
      </c>
      <c r="F119" s="77">
        <v>50</v>
      </c>
      <c r="G119" s="77">
        <v>61</v>
      </c>
      <c r="H119" s="77">
        <v>82</v>
      </c>
      <c r="I119" s="77">
        <v>121</v>
      </c>
      <c r="J119" s="77">
        <v>102</v>
      </c>
      <c r="K119" s="77">
        <v>139</v>
      </c>
      <c r="L119" s="77">
        <v>141</v>
      </c>
      <c r="M119" s="77">
        <v>120</v>
      </c>
      <c r="N119" s="77">
        <v>151</v>
      </c>
      <c r="O119" s="77">
        <v>91</v>
      </c>
      <c r="P119" s="77">
        <f t="shared" si="8"/>
        <v>1186</v>
      </c>
      <c r="Q119" s="92">
        <v>96721</v>
      </c>
      <c r="R119" s="96">
        <f t="shared" si="9"/>
        <v>12.262073386338024</v>
      </c>
      <c r="S119" s="133"/>
      <c r="T119" s="130"/>
    </row>
    <row r="120" spans="1:20" ht="15.75" thickBot="1" x14ac:dyDescent="0.3">
      <c r="A120" s="37" t="s">
        <v>252</v>
      </c>
      <c r="B120" s="36" t="s">
        <v>718</v>
      </c>
      <c r="C120" s="44" t="s">
        <v>70</v>
      </c>
      <c r="D120" s="45">
        <v>413</v>
      </c>
      <c r="E120" s="77">
        <v>506</v>
      </c>
      <c r="F120" s="77">
        <v>616</v>
      </c>
      <c r="G120" s="77">
        <v>517</v>
      </c>
      <c r="H120" s="77">
        <v>484</v>
      </c>
      <c r="I120" s="77">
        <v>555</v>
      </c>
      <c r="J120" s="77">
        <v>530</v>
      </c>
      <c r="K120" s="77">
        <v>534</v>
      </c>
      <c r="L120" s="77">
        <v>593</v>
      </c>
      <c r="M120" s="77">
        <v>575</v>
      </c>
      <c r="N120" s="77">
        <v>588</v>
      </c>
      <c r="O120" s="77">
        <v>439</v>
      </c>
      <c r="P120" s="77">
        <f t="shared" si="8"/>
        <v>6350</v>
      </c>
      <c r="Q120" s="92">
        <v>522503</v>
      </c>
      <c r="R120" s="96">
        <f t="shared" si="9"/>
        <v>12.153040269625246</v>
      </c>
      <c r="S120" s="133"/>
      <c r="T120" s="130"/>
    </row>
    <row r="121" spans="1:20" ht="15.75" thickBot="1" x14ac:dyDescent="0.3">
      <c r="A121" s="37" t="s">
        <v>238</v>
      </c>
      <c r="B121" s="36" t="s">
        <v>706</v>
      </c>
      <c r="C121" s="44" t="s">
        <v>56</v>
      </c>
      <c r="D121" s="45">
        <v>51</v>
      </c>
      <c r="E121" s="77">
        <v>69</v>
      </c>
      <c r="F121" s="77">
        <v>52</v>
      </c>
      <c r="G121" s="77">
        <v>56</v>
      </c>
      <c r="H121" s="77">
        <v>45</v>
      </c>
      <c r="I121" s="77">
        <v>44</v>
      </c>
      <c r="J121" s="77">
        <v>51</v>
      </c>
      <c r="K121" s="77">
        <v>58</v>
      </c>
      <c r="L121" s="77">
        <v>58</v>
      </c>
      <c r="M121" s="77">
        <v>52</v>
      </c>
      <c r="N121" s="77">
        <v>71</v>
      </c>
      <c r="O121" s="77">
        <v>60</v>
      </c>
      <c r="P121" s="77">
        <f t="shared" si="8"/>
        <v>667</v>
      </c>
      <c r="Q121" s="92">
        <v>61304</v>
      </c>
      <c r="R121" s="96">
        <f t="shared" si="9"/>
        <v>10.880203575623124</v>
      </c>
      <c r="S121" s="133"/>
      <c r="T121" s="130"/>
    </row>
    <row r="122" spans="1:20" ht="15.75" thickBot="1" x14ac:dyDescent="0.3">
      <c r="A122" s="37" t="s">
        <v>254</v>
      </c>
      <c r="B122" s="36" t="s">
        <v>722</v>
      </c>
      <c r="C122" s="44" t="s">
        <v>72</v>
      </c>
      <c r="D122" s="45">
        <v>42</v>
      </c>
      <c r="E122" s="77">
        <v>34</v>
      </c>
      <c r="F122" s="77">
        <v>45</v>
      </c>
      <c r="G122" s="77">
        <v>42</v>
      </c>
      <c r="H122" s="77">
        <v>47</v>
      </c>
      <c r="I122" s="77">
        <v>34</v>
      </c>
      <c r="J122" s="77">
        <v>29</v>
      </c>
      <c r="K122" s="77">
        <v>43</v>
      </c>
      <c r="L122" s="77">
        <v>52</v>
      </c>
      <c r="M122" s="77">
        <v>70</v>
      </c>
      <c r="N122" s="77">
        <v>69</v>
      </c>
      <c r="O122" s="77">
        <v>55</v>
      </c>
      <c r="P122" s="77">
        <f t="shared" si="8"/>
        <v>562</v>
      </c>
      <c r="Q122" s="92">
        <v>56351</v>
      </c>
      <c r="R122" s="96">
        <f t="shared" si="9"/>
        <v>9.9732036698550157</v>
      </c>
      <c r="S122" s="133"/>
      <c r="T122" s="130"/>
    </row>
    <row r="123" spans="1:20" ht="15.75" thickBot="1" x14ac:dyDescent="0.3">
      <c r="A123" s="37" t="s">
        <v>251</v>
      </c>
      <c r="B123" s="36" t="s">
        <v>721</v>
      </c>
      <c r="C123" s="44" t="s">
        <v>69</v>
      </c>
      <c r="D123" s="45">
        <v>125</v>
      </c>
      <c r="E123" s="77">
        <v>109</v>
      </c>
      <c r="F123" s="77">
        <v>150</v>
      </c>
      <c r="G123" s="77">
        <v>113</v>
      </c>
      <c r="H123" s="77">
        <v>114</v>
      </c>
      <c r="I123" s="77">
        <v>117</v>
      </c>
      <c r="J123" s="77">
        <v>113</v>
      </c>
      <c r="K123" s="77">
        <v>142</v>
      </c>
      <c r="L123" s="77">
        <v>166</v>
      </c>
      <c r="M123" s="77">
        <v>147</v>
      </c>
      <c r="N123" s="77">
        <v>173</v>
      </c>
      <c r="O123" s="77">
        <v>127</v>
      </c>
      <c r="P123" s="77">
        <f t="shared" si="8"/>
        <v>1596</v>
      </c>
      <c r="Q123" s="92">
        <v>180957</v>
      </c>
      <c r="R123" s="96">
        <f t="shared" si="9"/>
        <v>8.8197748636416389</v>
      </c>
      <c r="S123" s="133"/>
      <c r="T123" s="130"/>
    </row>
    <row r="124" spans="1:20" ht="15.75" thickBot="1" x14ac:dyDescent="0.3">
      <c r="A124" s="37" t="s">
        <v>247</v>
      </c>
      <c r="B124" s="36" t="s">
        <v>717</v>
      </c>
      <c r="C124" s="44" t="s">
        <v>65</v>
      </c>
      <c r="D124" s="45">
        <v>33</v>
      </c>
      <c r="E124" s="77">
        <v>41</v>
      </c>
      <c r="F124" s="77">
        <v>41</v>
      </c>
      <c r="G124" s="77">
        <v>26</v>
      </c>
      <c r="H124" s="77">
        <v>11</v>
      </c>
      <c r="I124" s="77">
        <v>60</v>
      </c>
      <c r="J124" s="77">
        <v>29</v>
      </c>
      <c r="K124" s="77">
        <v>43</v>
      </c>
      <c r="L124" s="77">
        <v>44</v>
      </c>
      <c r="M124" s="77">
        <v>34</v>
      </c>
      <c r="N124" s="77">
        <v>46</v>
      </c>
      <c r="O124" s="77">
        <v>46</v>
      </c>
      <c r="P124" s="77">
        <f t="shared" si="8"/>
        <v>454</v>
      </c>
      <c r="Q124" s="92">
        <v>55229</v>
      </c>
      <c r="R124" s="96">
        <f t="shared" si="9"/>
        <v>8.2203190352894318</v>
      </c>
      <c r="S124" s="133"/>
      <c r="T124" s="130"/>
    </row>
    <row r="125" spans="1:20" ht="15.75" thickBot="1" x14ac:dyDescent="0.3">
      <c r="A125" s="37" t="s">
        <v>239</v>
      </c>
      <c r="B125" s="36" t="s">
        <v>704</v>
      </c>
      <c r="C125" s="44" t="s">
        <v>57</v>
      </c>
      <c r="D125" s="45">
        <v>6</v>
      </c>
      <c r="E125" s="77">
        <v>16</v>
      </c>
      <c r="F125" s="77">
        <v>23</v>
      </c>
      <c r="G125" s="77">
        <v>19</v>
      </c>
      <c r="H125" s="77">
        <v>14</v>
      </c>
      <c r="I125" s="77">
        <v>9</v>
      </c>
      <c r="J125" s="77">
        <v>14</v>
      </c>
      <c r="K125" s="77">
        <v>6</v>
      </c>
      <c r="L125" s="77">
        <v>16</v>
      </c>
      <c r="M125" s="77">
        <v>17</v>
      </c>
      <c r="N125" s="77">
        <v>21</v>
      </c>
      <c r="O125" s="77">
        <v>15</v>
      </c>
      <c r="P125" s="77">
        <f t="shared" si="8"/>
        <v>176</v>
      </c>
      <c r="Q125" s="92">
        <v>23369</v>
      </c>
      <c r="R125" s="96">
        <f t="shared" si="9"/>
        <v>7.531344944156789</v>
      </c>
      <c r="S125" s="133"/>
      <c r="T125" s="130"/>
    </row>
    <row r="126" spans="1:20" ht="15.75" thickBot="1" x14ac:dyDescent="0.3">
      <c r="A126" s="37" t="s">
        <v>249</v>
      </c>
      <c r="B126" s="36" t="s">
        <v>719</v>
      </c>
      <c r="C126" s="44" t="s">
        <v>67</v>
      </c>
      <c r="D126" s="45">
        <v>11</v>
      </c>
      <c r="E126" s="77">
        <v>13</v>
      </c>
      <c r="F126" s="77">
        <v>22</v>
      </c>
      <c r="G126" s="77">
        <v>12</v>
      </c>
      <c r="H126" s="77">
        <v>18</v>
      </c>
      <c r="I126" s="77">
        <v>23</v>
      </c>
      <c r="J126" s="77">
        <v>12</v>
      </c>
      <c r="K126" s="77">
        <v>32</v>
      </c>
      <c r="L126" s="77">
        <v>21</v>
      </c>
      <c r="M126" s="77">
        <v>32</v>
      </c>
      <c r="N126" s="77">
        <v>33</v>
      </c>
      <c r="O126" s="77">
        <v>27</v>
      </c>
      <c r="P126" s="77">
        <f t="shared" si="8"/>
        <v>256</v>
      </c>
      <c r="Q126" s="92">
        <v>34914</v>
      </c>
      <c r="R126" s="96">
        <f t="shared" si="9"/>
        <v>7.3323022283324741</v>
      </c>
      <c r="S126" s="133"/>
      <c r="T126" s="130"/>
    </row>
    <row r="127" spans="1:20" ht="15.75" thickBot="1" x14ac:dyDescent="0.3">
      <c r="A127" s="37" t="s">
        <v>244</v>
      </c>
      <c r="B127" s="36" t="s">
        <v>709</v>
      </c>
      <c r="C127" s="44" t="s">
        <v>62</v>
      </c>
      <c r="D127" s="45">
        <v>8</v>
      </c>
      <c r="E127" s="77">
        <v>7</v>
      </c>
      <c r="F127" s="77">
        <v>4</v>
      </c>
      <c r="G127" s="77">
        <v>6</v>
      </c>
      <c r="H127" s="77">
        <v>4</v>
      </c>
      <c r="I127" s="77">
        <v>3</v>
      </c>
      <c r="J127" s="77">
        <v>9</v>
      </c>
      <c r="K127" s="77">
        <v>25</v>
      </c>
      <c r="L127" s="77">
        <v>27</v>
      </c>
      <c r="M127" s="77">
        <v>23</v>
      </c>
      <c r="N127" s="77">
        <v>43</v>
      </c>
      <c r="O127" s="77">
        <v>19</v>
      </c>
      <c r="P127" s="77">
        <f t="shared" si="8"/>
        <v>178</v>
      </c>
      <c r="Q127" s="92">
        <v>25424</v>
      </c>
      <c r="R127" s="96">
        <f t="shared" si="9"/>
        <v>7.0012586532410319</v>
      </c>
      <c r="S127" s="133"/>
      <c r="T127" s="130"/>
    </row>
    <row r="128" spans="1:20" ht="15.75" thickBot="1" x14ac:dyDescent="0.3">
      <c r="A128" s="37" t="s">
        <v>255</v>
      </c>
      <c r="B128" s="36" t="s">
        <v>723</v>
      </c>
      <c r="C128" s="44" t="s">
        <v>73</v>
      </c>
      <c r="D128" s="45">
        <v>138</v>
      </c>
      <c r="E128" s="77">
        <v>117</v>
      </c>
      <c r="F128" s="77">
        <v>152</v>
      </c>
      <c r="G128" s="77">
        <v>254</v>
      </c>
      <c r="H128" s="77">
        <v>161</v>
      </c>
      <c r="I128" s="77">
        <v>130</v>
      </c>
      <c r="J128" s="77">
        <v>137</v>
      </c>
      <c r="K128" s="77">
        <v>166</v>
      </c>
      <c r="L128" s="77">
        <v>145</v>
      </c>
      <c r="M128" s="77">
        <v>164</v>
      </c>
      <c r="N128" s="77">
        <v>153</v>
      </c>
      <c r="O128" s="77">
        <v>116</v>
      </c>
      <c r="P128" s="77">
        <f t="shared" si="8"/>
        <v>1833</v>
      </c>
      <c r="Q128" s="92">
        <v>276429</v>
      </c>
      <c r="R128" s="96">
        <f t="shared" si="9"/>
        <v>6.6309974713217503</v>
      </c>
      <c r="S128" s="133"/>
      <c r="T128" s="130"/>
    </row>
    <row r="129" spans="1:18" ht="33.75" customHeight="1" thickBot="1" x14ac:dyDescent="0.3">
      <c r="A129" s="1"/>
      <c r="B129" s="34"/>
      <c r="C129" s="47" t="s">
        <v>15</v>
      </c>
      <c r="D129" s="94">
        <f t="shared" ref="D129:O129" si="10">SUM(D97:D128)</f>
        <v>48892</v>
      </c>
      <c r="E129" s="94">
        <f t="shared" si="10"/>
        <v>51081</v>
      </c>
      <c r="F129" s="94">
        <f>SUM(F97:F128)</f>
        <v>55249</v>
      </c>
      <c r="G129" s="94">
        <f t="shared" si="10"/>
        <v>53669</v>
      </c>
      <c r="H129" s="94">
        <f t="shared" si="10"/>
        <v>48248</v>
      </c>
      <c r="I129" s="94">
        <f t="shared" si="10"/>
        <v>54874</v>
      </c>
      <c r="J129" s="94">
        <f t="shared" si="10"/>
        <v>57512</v>
      </c>
      <c r="K129" s="94">
        <f t="shared" si="10"/>
        <v>57708</v>
      </c>
      <c r="L129" s="94">
        <f t="shared" si="10"/>
        <v>59710</v>
      </c>
      <c r="M129" s="94">
        <f t="shared" si="10"/>
        <v>54474</v>
      </c>
      <c r="N129" s="94">
        <f t="shared" si="10"/>
        <v>58842</v>
      </c>
      <c r="O129" s="94">
        <f t="shared" si="10"/>
        <v>45319</v>
      </c>
      <c r="P129" s="94">
        <f>SUM(P97:P128)</f>
        <v>645578</v>
      </c>
      <c r="Q129" s="94">
        <f>SUM(Q97:Q128)</f>
        <v>24933456</v>
      </c>
      <c r="R129" s="95" t="s">
        <v>1032</v>
      </c>
    </row>
    <row r="130" spans="1:18" ht="30" customHeight="1" x14ac:dyDescent="0.25">
      <c r="A130" s="1"/>
      <c r="B130" s="34"/>
      <c r="C130" s="70" t="s">
        <v>732</v>
      </c>
      <c r="D130" s="70"/>
      <c r="E130" s="70"/>
      <c r="F130" s="70"/>
      <c r="G130" s="70"/>
      <c r="H130" s="70"/>
      <c r="I130" s="70"/>
      <c r="J130" s="70"/>
      <c r="K130" s="70"/>
      <c r="L130" s="70"/>
      <c r="M130" s="70"/>
      <c r="N130" s="70"/>
      <c r="O130" s="70"/>
      <c r="P130" s="70"/>
      <c r="Q130" s="70"/>
    </row>
    <row r="131" spans="1:18" ht="33.75" customHeight="1" x14ac:dyDescent="0.25">
      <c r="A131" s="1"/>
      <c r="B131" s="34"/>
      <c r="C131" s="168" t="s">
        <v>800</v>
      </c>
      <c r="D131" s="168"/>
      <c r="E131" s="168"/>
      <c r="F131" s="168"/>
      <c r="G131" s="168"/>
      <c r="H131" s="168"/>
      <c r="I131" s="168"/>
      <c r="J131" s="168"/>
      <c r="K131" s="168"/>
      <c r="L131" s="168"/>
      <c r="M131" s="168"/>
      <c r="N131" s="168"/>
      <c r="O131" s="168"/>
      <c r="P131" s="168"/>
      <c r="Q131" s="168"/>
      <c r="R131" s="168"/>
    </row>
    <row r="132" spans="1:18" ht="30" customHeight="1" x14ac:dyDescent="0.25">
      <c r="A132" s="1"/>
      <c r="B132" s="34"/>
      <c r="C132" s="168" t="s">
        <v>733</v>
      </c>
      <c r="D132" s="168"/>
      <c r="E132" s="168"/>
      <c r="F132" s="168"/>
      <c r="G132" s="168"/>
      <c r="H132" s="168"/>
      <c r="I132" s="168"/>
      <c r="J132" s="168"/>
      <c r="K132" s="168"/>
      <c r="L132" s="168"/>
      <c r="M132" s="168"/>
      <c r="N132" s="168"/>
      <c r="O132" s="168"/>
      <c r="P132" s="168"/>
      <c r="Q132" s="168"/>
      <c r="R132" s="168"/>
    </row>
    <row r="133" spans="1:18" x14ac:dyDescent="0.25">
      <c r="A133" s="1"/>
      <c r="C133" s="151" t="s">
        <v>740</v>
      </c>
      <c r="D133" s="151"/>
      <c r="E133" s="151"/>
      <c r="F133" s="151"/>
      <c r="G133" s="151"/>
      <c r="H133" s="151"/>
      <c r="I133" s="151"/>
      <c r="J133" s="151"/>
      <c r="K133" s="151"/>
      <c r="L133" s="151"/>
      <c r="M133" s="151"/>
      <c r="N133" s="151"/>
      <c r="O133" s="151"/>
      <c r="P133" s="151"/>
      <c r="Q133" s="151"/>
      <c r="R133" s="151"/>
    </row>
    <row r="134" spans="1:18" x14ac:dyDescent="0.25">
      <c r="A134" s="1"/>
      <c r="C134" s="151" t="str">
        <f>C15</f>
        <v>FUENTE: BASE DE DATOS SNS AÑO 2.021 (ENERO-DICIEMBRE)</v>
      </c>
      <c r="D134" s="151"/>
      <c r="E134" s="151"/>
      <c r="F134" s="151"/>
      <c r="G134" s="151"/>
      <c r="H134" s="151"/>
      <c r="I134" s="151"/>
      <c r="J134" s="151"/>
      <c r="K134" s="151"/>
      <c r="L134" s="151"/>
      <c r="M134" s="151"/>
      <c r="N134" s="151"/>
      <c r="O134" s="151"/>
      <c r="P134" s="151"/>
      <c r="Q134" s="151"/>
      <c r="R134" s="151"/>
    </row>
    <row r="136" spans="1:18" ht="15.75" x14ac:dyDescent="0.25">
      <c r="C136" s="4" t="s">
        <v>74</v>
      </c>
      <c r="D136" s="7"/>
      <c r="E136" s="7"/>
      <c r="F136" s="7"/>
      <c r="G136" s="7"/>
      <c r="H136" s="7"/>
      <c r="I136" s="7"/>
      <c r="J136" s="7"/>
      <c r="K136" s="7"/>
      <c r="L136" s="7"/>
      <c r="M136" s="7"/>
      <c r="N136" s="7"/>
      <c r="O136" s="7"/>
      <c r="P136" s="7"/>
      <c r="Q136" s="15"/>
      <c r="R136" s="5"/>
    </row>
    <row r="137" spans="1:18" s="7" customFormat="1" ht="15.75" thickBot="1" x14ac:dyDescent="0.3">
      <c r="A137" s="27"/>
      <c r="B137" s="1"/>
      <c r="D137" s="5"/>
      <c r="E137" s="5"/>
      <c r="F137" s="5"/>
      <c r="G137" s="5"/>
      <c r="H137" s="5"/>
      <c r="I137" s="5"/>
      <c r="J137" s="5"/>
      <c r="K137" s="5"/>
      <c r="L137" s="5"/>
      <c r="M137" s="5"/>
      <c r="N137" s="5"/>
      <c r="O137" s="5"/>
      <c r="P137" s="5"/>
      <c r="Q137" s="6"/>
      <c r="R137" s="5"/>
    </row>
    <row r="138" spans="1:18" ht="15.75" thickBot="1" x14ac:dyDescent="0.3">
      <c r="A138" s="27" t="s">
        <v>256</v>
      </c>
      <c r="B138" s="1" t="s">
        <v>257</v>
      </c>
      <c r="C138" s="47" t="s">
        <v>75</v>
      </c>
      <c r="D138" s="48" t="s">
        <v>2</v>
      </c>
      <c r="E138" s="48" t="s">
        <v>3</v>
      </c>
      <c r="F138" s="48" t="s">
        <v>4</v>
      </c>
      <c r="G138" s="48" t="s">
        <v>5</v>
      </c>
      <c r="H138" s="48" t="s">
        <v>6</v>
      </c>
      <c r="I138" s="48" t="s">
        <v>7</v>
      </c>
      <c r="J138" s="48" t="s">
        <v>8</v>
      </c>
      <c r="K138" s="48" t="s">
        <v>9</v>
      </c>
      <c r="L138" s="48" t="s">
        <v>10</v>
      </c>
      <c r="M138" s="48" t="s">
        <v>11</v>
      </c>
      <c r="N138" s="48" t="s">
        <v>12</v>
      </c>
      <c r="O138" s="48" t="s">
        <v>13</v>
      </c>
      <c r="P138" s="49" t="str">
        <f>P9</f>
        <v>TOTAL AÑO 2.021</v>
      </c>
      <c r="Q138" s="53" t="s">
        <v>26</v>
      </c>
    </row>
    <row r="139" spans="1:18" ht="30.75" thickBot="1" x14ac:dyDescent="0.3">
      <c r="A139" s="38" t="s">
        <v>258</v>
      </c>
      <c r="B139" s="33" t="s">
        <v>259</v>
      </c>
      <c r="C139" s="44" t="s">
        <v>686</v>
      </c>
      <c r="D139" s="45">
        <v>58693</v>
      </c>
      <c r="E139" s="77">
        <v>60631</v>
      </c>
      <c r="F139" s="77">
        <v>69748</v>
      </c>
      <c r="G139" s="77">
        <v>67861</v>
      </c>
      <c r="H139" s="77">
        <v>59259</v>
      </c>
      <c r="I139" s="77">
        <v>70032</v>
      </c>
      <c r="J139" s="88">
        <v>75826</v>
      </c>
      <c r="K139" s="88">
        <f>VLOOKUP(C139,[3]Hoja1!$A$138:$K$143,9,FALSE)</f>
        <v>78588</v>
      </c>
      <c r="L139" s="77">
        <v>83210</v>
      </c>
      <c r="M139" s="77">
        <v>76208</v>
      </c>
      <c r="N139" s="77">
        <f>+VLOOKUP(B139,'[4]I. Generales'!$C$130:$N$135,12,0)</f>
        <v>82580</v>
      </c>
      <c r="O139" s="77">
        <v>61549</v>
      </c>
      <c r="P139" s="45">
        <f t="shared" ref="P139:P144" si="11">SUM(D139:O139)</f>
        <v>844185</v>
      </c>
      <c r="Q139" s="54">
        <f t="shared" ref="Q139:Q144" si="12">P139/$P$145</f>
        <v>0.84695199215838146</v>
      </c>
      <c r="R139" s="10"/>
    </row>
    <row r="140" spans="1:18" ht="30.75" thickBot="1" x14ac:dyDescent="0.3">
      <c r="A140" s="38" t="s">
        <v>260</v>
      </c>
      <c r="B140" s="33" t="s">
        <v>261</v>
      </c>
      <c r="C140" s="44" t="s">
        <v>687</v>
      </c>
      <c r="D140" s="45">
        <v>5135</v>
      </c>
      <c r="E140" s="77">
        <v>5881</v>
      </c>
      <c r="F140" s="77">
        <v>6698</v>
      </c>
      <c r="G140" s="77">
        <v>6557</v>
      </c>
      <c r="H140" s="77">
        <v>5974</v>
      </c>
      <c r="I140" s="77">
        <v>5129</v>
      </c>
      <c r="J140" s="88">
        <v>5224</v>
      </c>
      <c r="K140" s="88">
        <f>VLOOKUP(C140,[3]Hoja1!$A$138:$K$143,9,FALSE)</f>
        <v>5014</v>
      </c>
      <c r="L140" s="77">
        <v>4654</v>
      </c>
      <c r="M140" s="77">
        <v>4059</v>
      </c>
      <c r="N140" s="77">
        <f>+VLOOKUP(B140,'[4]I. Generales'!$C$130:$N$135,12,0)</f>
        <v>4233</v>
      </c>
      <c r="O140" s="77">
        <v>3624</v>
      </c>
      <c r="P140" s="45">
        <f t="shared" si="11"/>
        <v>62182</v>
      </c>
      <c r="Q140" s="54">
        <f t="shared" si="12"/>
        <v>6.2385814455827186E-2</v>
      </c>
      <c r="R140" s="10"/>
    </row>
    <row r="141" spans="1:18" ht="30.75" thickBot="1" x14ac:dyDescent="0.3">
      <c r="A141" s="38" t="s">
        <v>262</v>
      </c>
      <c r="B141" s="33" t="s">
        <v>263</v>
      </c>
      <c r="C141" s="44" t="s">
        <v>688</v>
      </c>
      <c r="D141" s="45">
        <v>4793</v>
      </c>
      <c r="E141" s="77">
        <v>4493</v>
      </c>
      <c r="F141" s="77">
        <v>5132</v>
      </c>
      <c r="G141" s="77">
        <v>4613</v>
      </c>
      <c r="H141" s="77">
        <v>4355</v>
      </c>
      <c r="I141" s="77">
        <v>3666</v>
      </c>
      <c r="J141" s="88">
        <v>3393</v>
      </c>
      <c r="K141" s="88">
        <f>VLOOKUP(C141,[3]Hoja1!$A$138:$K$143,9,FALSE)</f>
        <v>3354</v>
      </c>
      <c r="L141" s="77">
        <v>3824</v>
      </c>
      <c r="M141" s="77">
        <v>2808</v>
      </c>
      <c r="N141" s="77">
        <f>+VLOOKUP(B141,'[4]I. Generales'!$C$130:$N$135,12,0)</f>
        <v>3375</v>
      </c>
      <c r="O141" s="77">
        <v>3920</v>
      </c>
      <c r="P141" s="45">
        <f t="shared" si="11"/>
        <v>47726</v>
      </c>
      <c r="Q141" s="54">
        <f t="shared" si="12"/>
        <v>4.7882431905033745E-2</v>
      </c>
      <c r="R141" s="10"/>
    </row>
    <row r="142" spans="1:18" ht="30.75" thickBot="1" x14ac:dyDescent="0.3">
      <c r="A142" s="38" t="s">
        <v>172</v>
      </c>
      <c r="B142" s="33" t="s">
        <v>264</v>
      </c>
      <c r="C142" s="44" t="s">
        <v>689</v>
      </c>
      <c r="D142" s="45">
        <v>3739</v>
      </c>
      <c r="E142" s="77">
        <v>6335</v>
      </c>
      <c r="F142" s="77">
        <v>2989</v>
      </c>
      <c r="G142" s="77">
        <v>2492</v>
      </c>
      <c r="H142" s="77">
        <v>2390</v>
      </c>
      <c r="I142" s="77">
        <v>2602</v>
      </c>
      <c r="J142" s="88">
        <v>2961</v>
      </c>
      <c r="K142" s="88">
        <f>VLOOKUP(C142,[3]Hoja1!$A$138:$K$143,9,FALSE)</f>
        <v>3247</v>
      </c>
      <c r="L142" s="77">
        <v>3025</v>
      </c>
      <c r="M142" s="77">
        <v>2470</v>
      </c>
      <c r="N142" s="77">
        <f>+VLOOKUP(B142,'[4]I. Generales'!$C$130:$N$135,12,0)</f>
        <v>2752</v>
      </c>
      <c r="O142" s="77">
        <v>2750</v>
      </c>
      <c r="P142" s="45">
        <f t="shared" si="11"/>
        <v>37752</v>
      </c>
      <c r="Q142" s="54">
        <f t="shared" si="12"/>
        <v>3.7875740042719562E-2</v>
      </c>
      <c r="R142" s="10"/>
    </row>
    <row r="143" spans="1:18" ht="60.75" thickBot="1" x14ac:dyDescent="0.3">
      <c r="A143" s="38" t="s">
        <v>265</v>
      </c>
      <c r="B143" s="33" t="s">
        <v>266</v>
      </c>
      <c r="C143" s="44" t="s">
        <v>266</v>
      </c>
      <c r="D143" s="45">
        <v>345</v>
      </c>
      <c r="E143" s="77">
        <v>294</v>
      </c>
      <c r="F143" s="77">
        <v>362</v>
      </c>
      <c r="G143" s="77">
        <v>315</v>
      </c>
      <c r="H143" s="77">
        <v>288</v>
      </c>
      <c r="I143" s="77">
        <v>273</v>
      </c>
      <c r="J143" s="88">
        <v>274</v>
      </c>
      <c r="K143" s="88">
        <f>VLOOKUP(C143,[3]Hoja1!$A$138:$K$143,9,FALSE)</f>
        <v>326</v>
      </c>
      <c r="L143" s="77">
        <v>290</v>
      </c>
      <c r="M143" s="77">
        <v>217</v>
      </c>
      <c r="N143" s="77">
        <f>+VLOOKUP(B143,'[4]I. Generales'!$C$130:$N$135,12,0)</f>
        <v>301</v>
      </c>
      <c r="O143" s="77">
        <v>164</v>
      </c>
      <c r="P143" s="45">
        <f t="shared" si="11"/>
        <v>3449</v>
      </c>
      <c r="Q143" s="54">
        <f t="shared" si="12"/>
        <v>3.4603048158333275E-3</v>
      </c>
      <c r="R143" s="10"/>
    </row>
    <row r="144" spans="1:18" ht="45.75" thickBot="1" x14ac:dyDescent="0.3">
      <c r="A144" s="38" t="s">
        <v>267</v>
      </c>
      <c r="B144" s="33" t="s">
        <v>268</v>
      </c>
      <c r="C144" s="44" t="s">
        <v>690</v>
      </c>
      <c r="D144" s="45">
        <v>89</v>
      </c>
      <c r="E144" s="77">
        <v>123</v>
      </c>
      <c r="F144" s="77">
        <v>164</v>
      </c>
      <c r="G144" s="77">
        <v>142</v>
      </c>
      <c r="H144" s="77">
        <v>119</v>
      </c>
      <c r="I144" s="77">
        <v>115</v>
      </c>
      <c r="J144" s="88">
        <v>101</v>
      </c>
      <c r="K144" s="88">
        <v>134</v>
      </c>
      <c r="L144" s="77">
        <v>121</v>
      </c>
      <c r="M144" s="77">
        <v>109</v>
      </c>
      <c r="N144" s="77">
        <f>+VLOOKUP(B144,'[4]I. Generales'!$C$130:$N$135,12,0)</f>
        <v>115</v>
      </c>
      <c r="O144" s="77">
        <v>107</v>
      </c>
      <c r="P144" s="45">
        <f t="shared" si="11"/>
        <v>1439</v>
      </c>
      <c r="Q144" s="54">
        <f t="shared" si="12"/>
        <v>1.4437166222047429E-3</v>
      </c>
      <c r="R144" s="10"/>
    </row>
    <row r="145" spans="1:19" ht="15.75" thickBot="1" x14ac:dyDescent="0.3">
      <c r="C145" s="43" t="s">
        <v>15</v>
      </c>
      <c r="D145" s="97">
        <f>SUM(D139:D144)</f>
        <v>72794</v>
      </c>
      <c r="E145" s="97">
        <f t="shared" ref="E145:P145" si="13">SUM(E139:E144)</f>
        <v>77757</v>
      </c>
      <c r="F145" s="97">
        <f t="shared" si="13"/>
        <v>85093</v>
      </c>
      <c r="G145" s="97">
        <f t="shared" si="13"/>
        <v>81980</v>
      </c>
      <c r="H145" s="97">
        <f t="shared" si="13"/>
        <v>72385</v>
      </c>
      <c r="I145" s="97">
        <f t="shared" si="13"/>
        <v>81817</v>
      </c>
      <c r="J145" s="97">
        <f t="shared" si="13"/>
        <v>87779</v>
      </c>
      <c r="K145" s="97">
        <f t="shared" si="13"/>
        <v>90663</v>
      </c>
      <c r="L145" s="97">
        <f t="shared" si="13"/>
        <v>95124</v>
      </c>
      <c r="M145" s="97">
        <f t="shared" si="13"/>
        <v>85871</v>
      </c>
      <c r="N145" s="97">
        <f t="shared" si="13"/>
        <v>93356</v>
      </c>
      <c r="O145" s="97">
        <f t="shared" si="13"/>
        <v>72114</v>
      </c>
      <c r="P145" s="97">
        <f t="shared" si="13"/>
        <v>996733</v>
      </c>
      <c r="Q145" s="98">
        <f>SUM(Q139:Q144)</f>
        <v>1</v>
      </c>
    </row>
    <row r="146" spans="1:19" x14ac:dyDescent="0.25">
      <c r="C146" s="151" t="s">
        <v>741</v>
      </c>
      <c r="D146" s="151"/>
      <c r="E146" s="151"/>
      <c r="F146" s="151"/>
      <c r="G146" s="151"/>
      <c r="H146" s="151"/>
      <c r="I146" s="151"/>
      <c r="J146" s="151"/>
      <c r="K146" s="151"/>
      <c r="L146" s="151"/>
      <c r="M146" s="151"/>
      <c r="N146" s="151"/>
      <c r="O146" s="151"/>
      <c r="P146" s="151"/>
      <c r="Q146" s="151"/>
    </row>
    <row r="147" spans="1:19" x14ac:dyDescent="0.25">
      <c r="C147" s="151" t="str">
        <f>C15</f>
        <v>FUENTE: BASE DE DATOS SNS AÑO 2.021 (ENERO-DICIEMBRE)</v>
      </c>
      <c r="D147" s="151"/>
      <c r="E147" s="151"/>
      <c r="F147" s="151"/>
      <c r="G147" s="151"/>
      <c r="H147" s="151"/>
      <c r="I147" s="151"/>
      <c r="J147" s="151"/>
      <c r="K147" s="151"/>
      <c r="L147" s="151"/>
      <c r="M147" s="151"/>
      <c r="N147" s="151"/>
      <c r="O147" s="151"/>
      <c r="P147" s="151"/>
      <c r="Q147" s="151"/>
    </row>
    <row r="148" spans="1:19" x14ac:dyDescent="0.25">
      <c r="C148" s="9"/>
      <c r="D148" s="10"/>
      <c r="E148" s="10"/>
      <c r="F148" s="10"/>
      <c r="G148" s="10"/>
      <c r="H148" s="10"/>
      <c r="I148" s="10"/>
      <c r="J148" s="10"/>
      <c r="K148" s="10"/>
      <c r="L148" s="10"/>
      <c r="M148" s="10"/>
      <c r="N148" s="10"/>
      <c r="O148" s="10"/>
      <c r="P148" s="10"/>
    </row>
    <row r="149" spans="1:19" ht="15.75" x14ac:dyDescent="0.25">
      <c r="C149" s="4" t="s">
        <v>76</v>
      </c>
    </row>
    <row r="150" spans="1:19" ht="15.75" thickBot="1" x14ac:dyDescent="0.3"/>
    <row r="151" spans="1:19" ht="15.75" thickBot="1" x14ac:dyDescent="0.3">
      <c r="A151" s="39" t="s">
        <v>269</v>
      </c>
      <c r="B151" s="8" t="s">
        <v>270</v>
      </c>
      <c r="C151" s="47" t="s">
        <v>77</v>
      </c>
      <c r="D151" s="64" t="s">
        <v>2</v>
      </c>
      <c r="E151" s="48" t="s">
        <v>3</v>
      </c>
      <c r="F151" s="48" t="s">
        <v>4</v>
      </c>
      <c r="G151" s="48" t="s">
        <v>5</v>
      </c>
      <c r="H151" s="48" t="s">
        <v>6</v>
      </c>
      <c r="I151" s="48" t="s">
        <v>7</v>
      </c>
      <c r="J151" s="48" t="s">
        <v>8</v>
      </c>
      <c r="K151" s="48" t="s">
        <v>9</v>
      </c>
      <c r="L151" s="48" t="s">
        <v>10</v>
      </c>
      <c r="M151" s="48" t="s">
        <v>11</v>
      </c>
      <c r="N151" s="48" t="s">
        <v>12</v>
      </c>
      <c r="O151" s="48" t="s">
        <v>13</v>
      </c>
      <c r="P151" s="49" t="str">
        <f>P9</f>
        <v>TOTAL AÑO 2.021</v>
      </c>
      <c r="Q151" s="53" t="s">
        <v>26</v>
      </c>
    </row>
    <row r="152" spans="1:19" ht="60.75" thickBot="1" x14ac:dyDescent="0.3">
      <c r="A152" s="40" t="s">
        <v>271</v>
      </c>
      <c r="B152" s="69" t="str">
        <f t="shared" ref="B152:B215" si="14">+C152</f>
        <v>FALTA DE OPORTUNIDAD EN LA ASIGNACIÓN DE CITAS DE CONSULTA MÉDICA ESPECIALIZADA DE OTRAS ESPECIALIDADES MÉDICAS</v>
      </c>
      <c r="C152" s="135" t="s">
        <v>799</v>
      </c>
      <c r="D152" s="136">
        <v>9547</v>
      </c>
      <c r="E152" s="136">
        <v>12005</v>
      </c>
      <c r="F152" s="136">
        <v>14506</v>
      </c>
      <c r="G152" s="136">
        <v>12181</v>
      </c>
      <c r="H152" s="136">
        <v>10456</v>
      </c>
      <c r="I152" s="136">
        <v>12869</v>
      </c>
      <c r="J152" s="136">
        <v>16470</v>
      </c>
      <c r="K152" s="136">
        <v>19888</v>
      </c>
      <c r="L152" s="80">
        <v>23226</v>
      </c>
      <c r="M152" s="80">
        <v>22879</v>
      </c>
      <c r="N152" s="137">
        <v>25866</v>
      </c>
      <c r="O152" s="80">
        <v>17813</v>
      </c>
      <c r="P152" s="77">
        <f>+SUM(D152:O152)</f>
        <v>197706</v>
      </c>
      <c r="Q152" s="138">
        <f t="shared" ref="Q152:Q215" si="15">+P152/$P$445</f>
        <v>0.19835402259180743</v>
      </c>
      <c r="R152" s="131"/>
      <c r="S152" s="130"/>
    </row>
    <row r="153" spans="1:19" ht="45.75" thickBot="1" x14ac:dyDescent="0.3">
      <c r="A153" s="40" t="s">
        <v>282</v>
      </c>
      <c r="B153" s="69" t="str">
        <f t="shared" si="14"/>
        <v>FALTA DE OPORTUNIDAD EN LA ASIGNACIÓN DE CITAS DE CONSULTA MÉDICA GENERAL</v>
      </c>
      <c r="C153" s="135" t="s">
        <v>796</v>
      </c>
      <c r="D153" s="136">
        <v>5302</v>
      </c>
      <c r="E153" s="136">
        <v>4182</v>
      </c>
      <c r="F153" s="136">
        <v>4179</v>
      </c>
      <c r="G153" s="136">
        <v>5704</v>
      </c>
      <c r="H153" s="136">
        <v>5329</v>
      </c>
      <c r="I153" s="136">
        <v>8026</v>
      </c>
      <c r="J153" s="136">
        <v>7077</v>
      </c>
      <c r="K153" s="136">
        <v>4974</v>
      </c>
      <c r="L153" s="80">
        <v>3818</v>
      </c>
      <c r="M153" s="80">
        <v>2572</v>
      </c>
      <c r="N153" s="137">
        <v>2427</v>
      </c>
      <c r="O153" s="80">
        <v>1525</v>
      </c>
      <c r="P153" s="77">
        <f t="shared" ref="P153:P160" si="16">+SUM(D153:O153)</f>
        <v>55115</v>
      </c>
      <c r="Q153" s="138">
        <f t="shared" si="15"/>
        <v>5.5295650891462406E-2</v>
      </c>
      <c r="R153" s="131"/>
      <c r="S153" s="130"/>
    </row>
    <row r="154" spans="1:19" ht="33.75" customHeight="1" thickBot="1" x14ac:dyDescent="0.3">
      <c r="A154" s="40" t="s">
        <v>273</v>
      </c>
      <c r="B154" s="69" t="str">
        <f t="shared" si="14"/>
        <v>FALTA DE OPORTUNIDAD EN LA ENTREGA DE MEDICAMENTOS POS</v>
      </c>
      <c r="C154" s="139" t="s">
        <v>817</v>
      </c>
      <c r="D154" s="77">
        <v>2881</v>
      </c>
      <c r="E154" s="77">
        <v>3169</v>
      </c>
      <c r="F154" s="77">
        <v>3411</v>
      </c>
      <c r="G154" s="77">
        <v>3492</v>
      </c>
      <c r="H154" s="77">
        <v>3496</v>
      </c>
      <c r="I154" s="77">
        <v>4268</v>
      </c>
      <c r="J154" s="77">
        <v>5279</v>
      </c>
      <c r="K154" s="77">
        <v>4980</v>
      </c>
      <c r="L154" s="80">
        <v>4958</v>
      </c>
      <c r="M154" s="80">
        <v>4734</v>
      </c>
      <c r="N154" s="137">
        <v>4895</v>
      </c>
      <c r="O154" s="80">
        <v>4466</v>
      </c>
      <c r="P154" s="77">
        <f t="shared" si="16"/>
        <v>50029</v>
      </c>
      <c r="Q154" s="138">
        <f t="shared" si="15"/>
        <v>5.0192980467186295E-2</v>
      </c>
      <c r="R154" s="131"/>
      <c r="S154" s="130"/>
    </row>
    <row r="155" spans="1:19" ht="30.75" thickBot="1" x14ac:dyDescent="0.3">
      <c r="A155" s="40" t="s">
        <v>272</v>
      </c>
      <c r="B155" s="69" t="str">
        <f t="shared" si="14"/>
        <v>FALTA DE OPORTUNIDAD EN LA ENTREGA DE MEDICAMENTOS NO POS</v>
      </c>
      <c r="C155" s="139" t="s">
        <v>818</v>
      </c>
      <c r="D155" s="77">
        <v>4082</v>
      </c>
      <c r="E155" s="77">
        <v>4272</v>
      </c>
      <c r="F155" s="77">
        <v>4186</v>
      </c>
      <c r="G155" s="77">
        <v>3901</v>
      </c>
      <c r="H155" s="77">
        <v>3454</v>
      </c>
      <c r="I155" s="77">
        <v>4050</v>
      </c>
      <c r="J155" s="77">
        <v>4470</v>
      </c>
      <c r="K155" s="77">
        <v>4223</v>
      </c>
      <c r="L155" s="80">
        <v>4272</v>
      </c>
      <c r="M155" s="80">
        <v>3968</v>
      </c>
      <c r="N155" s="137">
        <v>4404</v>
      </c>
      <c r="O155" s="80">
        <v>3433</v>
      </c>
      <c r="P155" s="77">
        <f t="shared" si="16"/>
        <v>48715</v>
      </c>
      <c r="Q155" s="138">
        <f t="shared" si="15"/>
        <v>4.8874673558515672E-2</v>
      </c>
      <c r="R155" s="131"/>
      <c r="S155" s="130"/>
    </row>
    <row r="156" spans="1:19" ht="45.75" thickBot="1" x14ac:dyDescent="0.3">
      <c r="A156" s="40" t="s">
        <v>278</v>
      </c>
      <c r="B156" s="69" t="str">
        <f t="shared" si="14"/>
        <v>DEMORA DE LA PROGRAMACIÓN DE EXÁMENES DE LABORATORIO O DIAGNÓSTICOS</v>
      </c>
      <c r="C156" s="139" t="s">
        <v>679</v>
      </c>
      <c r="D156" s="77">
        <v>2508</v>
      </c>
      <c r="E156" s="77">
        <v>2545</v>
      </c>
      <c r="F156" s="77">
        <v>3386</v>
      </c>
      <c r="G156" s="77">
        <v>3163</v>
      </c>
      <c r="H156" s="77">
        <v>2782</v>
      </c>
      <c r="I156" s="77">
        <v>3655</v>
      </c>
      <c r="J156" s="77">
        <v>4524</v>
      </c>
      <c r="K156" s="77">
        <v>5064</v>
      </c>
      <c r="L156" s="80">
        <v>5532</v>
      </c>
      <c r="M156" s="80">
        <v>5059</v>
      </c>
      <c r="N156" s="137">
        <v>5348</v>
      </c>
      <c r="O156" s="80">
        <v>3527</v>
      </c>
      <c r="P156" s="77">
        <f t="shared" si="16"/>
        <v>47093</v>
      </c>
      <c r="Q156" s="138">
        <f t="shared" si="15"/>
        <v>4.7247357115696983E-2</v>
      </c>
      <c r="R156" s="131"/>
      <c r="S156" s="130"/>
    </row>
    <row r="157" spans="1:19" ht="45.75" thickBot="1" x14ac:dyDescent="0.3">
      <c r="A157" s="40" t="s">
        <v>276</v>
      </c>
      <c r="B157" s="69" t="str">
        <f t="shared" si="14"/>
        <v>DEMORA DE LA AUTORIZACIÓN DE EXÁMENES DE LABORATORIO O DIAGNÓSTICOS</v>
      </c>
      <c r="C157" s="139" t="s">
        <v>678</v>
      </c>
      <c r="D157" s="77">
        <v>3352</v>
      </c>
      <c r="E157" s="77">
        <v>4047</v>
      </c>
      <c r="F157" s="77">
        <v>4655</v>
      </c>
      <c r="G157" s="77">
        <v>3823</v>
      </c>
      <c r="H157" s="77">
        <v>2929</v>
      </c>
      <c r="I157" s="77">
        <v>2853</v>
      </c>
      <c r="J157" s="77">
        <v>3050</v>
      </c>
      <c r="K157" s="77">
        <v>3392</v>
      </c>
      <c r="L157" s="80">
        <v>3744</v>
      </c>
      <c r="M157" s="80">
        <v>3259</v>
      </c>
      <c r="N157" s="137">
        <v>3185</v>
      </c>
      <c r="O157" s="80">
        <v>2261</v>
      </c>
      <c r="P157" s="77">
        <f t="shared" si="16"/>
        <v>40550</v>
      </c>
      <c r="Q157" s="138">
        <f t="shared" si="15"/>
        <v>4.0682911070467218E-2</v>
      </c>
      <c r="R157" s="131"/>
      <c r="S157" s="130"/>
    </row>
    <row r="158" spans="1:19" ht="30.75" thickBot="1" x14ac:dyDescent="0.3">
      <c r="A158" s="40" t="s">
        <v>277</v>
      </c>
      <c r="B158" s="69" t="str">
        <f t="shared" si="14"/>
        <v>DEMORA DE LA AUTORIZACIÓN DE MEDICAMENTOS NO-POS</v>
      </c>
      <c r="C158" s="139" t="s">
        <v>819</v>
      </c>
      <c r="D158" s="77">
        <v>3488</v>
      </c>
      <c r="E158" s="77">
        <v>3448</v>
      </c>
      <c r="F158" s="77">
        <v>3417</v>
      </c>
      <c r="G158" s="77">
        <v>2926</v>
      </c>
      <c r="H158" s="77">
        <v>2267</v>
      </c>
      <c r="I158" s="77">
        <v>1890</v>
      </c>
      <c r="J158" s="77">
        <v>1782</v>
      </c>
      <c r="K158" s="77">
        <v>1982</v>
      </c>
      <c r="L158" s="80">
        <v>2264</v>
      </c>
      <c r="M158" s="80">
        <v>2038</v>
      </c>
      <c r="N158" s="137">
        <v>2170</v>
      </c>
      <c r="O158" s="80">
        <v>2218</v>
      </c>
      <c r="P158" s="77">
        <f t="shared" si="16"/>
        <v>29890</v>
      </c>
      <c r="Q158" s="138">
        <f t="shared" si="15"/>
        <v>2.9987970700277807E-2</v>
      </c>
      <c r="R158" s="131"/>
      <c r="S158" s="130"/>
    </row>
    <row r="159" spans="1:19" ht="30.75" thickBot="1" x14ac:dyDescent="0.3">
      <c r="A159" s="40" t="s">
        <v>747</v>
      </c>
      <c r="B159" s="69" t="str">
        <f t="shared" si="14"/>
        <v>DEMORA DE LA AUTORIZACIÓN DE CONSULTAS MÉDICAS ESPECIALIZADA</v>
      </c>
      <c r="C159" s="139" t="s">
        <v>808</v>
      </c>
      <c r="D159" s="77">
        <v>2269</v>
      </c>
      <c r="E159" s="77">
        <v>2647</v>
      </c>
      <c r="F159" s="77">
        <v>3294</v>
      </c>
      <c r="G159" s="77">
        <v>2786</v>
      </c>
      <c r="H159" s="77">
        <v>2013</v>
      </c>
      <c r="I159" s="77">
        <v>1655</v>
      </c>
      <c r="J159" s="77">
        <v>1972</v>
      </c>
      <c r="K159" s="77">
        <v>2468</v>
      </c>
      <c r="L159" s="80">
        <v>2610</v>
      </c>
      <c r="M159" s="80">
        <v>2209</v>
      </c>
      <c r="N159" s="137">
        <v>2418</v>
      </c>
      <c r="O159" s="80">
        <v>1431</v>
      </c>
      <c r="P159" s="77">
        <f t="shared" si="16"/>
        <v>27772</v>
      </c>
      <c r="Q159" s="138">
        <f t="shared" si="15"/>
        <v>2.7863028514155747E-2</v>
      </c>
      <c r="R159" s="131"/>
      <c r="S159" s="130"/>
    </row>
    <row r="160" spans="1:19" ht="60.75" thickBot="1" x14ac:dyDescent="0.3">
      <c r="A160" s="40" t="s">
        <v>274</v>
      </c>
      <c r="B160" s="69" t="str">
        <f t="shared" si="14"/>
        <v>FALTA DE OPORTUNIDAD PARA LA PRESTACIÓN DE SERVICIOS DE IMAGENOLOGÍA DE  SEGUNDO Y TERCER NIVEL</v>
      </c>
      <c r="C160" s="139" t="s">
        <v>809</v>
      </c>
      <c r="D160" s="77">
        <v>985</v>
      </c>
      <c r="E160" s="77">
        <v>1412</v>
      </c>
      <c r="F160" s="77">
        <v>1876</v>
      </c>
      <c r="G160" s="77">
        <v>1421</v>
      </c>
      <c r="H160" s="77">
        <v>1275</v>
      </c>
      <c r="I160" s="77">
        <v>1651</v>
      </c>
      <c r="J160" s="77">
        <v>1849</v>
      </c>
      <c r="K160" s="77">
        <v>2388</v>
      </c>
      <c r="L160" s="80">
        <v>3296</v>
      </c>
      <c r="M160" s="80">
        <v>3088</v>
      </c>
      <c r="N160" s="137">
        <v>3522</v>
      </c>
      <c r="O160" s="80">
        <v>2363</v>
      </c>
      <c r="P160" s="77">
        <f t="shared" si="16"/>
        <v>25126</v>
      </c>
      <c r="Q160" s="138">
        <f t="shared" si="15"/>
        <v>2.5208355698065579E-2</v>
      </c>
      <c r="R160" s="131"/>
      <c r="S160" s="130"/>
    </row>
    <row r="161" spans="1:19" ht="30.75" thickBot="1" x14ac:dyDescent="0.3">
      <c r="A161" s="40" t="s">
        <v>750</v>
      </c>
      <c r="B161" s="69" t="str">
        <f t="shared" si="14"/>
        <v>FALTA DE OPORTUNIDAD EN LA PROGRAMACIÓN DE CIRUGÍA</v>
      </c>
      <c r="C161" s="139" t="s">
        <v>814</v>
      </c>
      <c r="D161" s="77">
        <v>769</v>
      </c>
      <c r="E161" s="77">
        <v>1206</v>
      </c>
      <c r="F161" s="77">
        <v>1475</v>
      </c>
      <c r="G161" s="77">
        <v>1087</v>
      </c>
      <c r="H161" s="77">
        <v>1108</v>
      </c>
      <c r="I161" s="77">
        <v>1699</v>
      </c>
      <c r="J161" s="77">
        <v>2218</v>
      </c>
      <c r="K161" s="77">
        <v>2856</v>
      </c>
      <c r="L161" s="80">
        <v>3264</v>
      </c>
      <c r="M161" s="80">
        <v>3116</v>
      </c>
      <c r="N161" s="137">
        <v>3489</v>
      </c>
      <c r="O161" s="80">
        <v>2514</v>
      </c>
      <c r="P161" s="77">
        <f>+SUM(D161:O161)</f>
        <v>24801</v>
      </c>
      <c r="Q161" s="138">
        <f t="shared" si="15"/>
        <v>2.4882290442876879E-2</v>
      </c>
      <c r="R161" s="131"/>
      <c r="S161" s="130"/>
    </row>
    <row r="162" spans="1:19" ht="60.75" hidden="1" customHeight="1" thickBot="1" x14ac:dyDescent="0.3">
      <c r="A162" s="40" t="s">
        <v>281</v>
      </c>
      <c r="B162" s="69" t="str">
        <f t="shared" si="14"/>
        <v>NO APLICACIÓN DE NORMAS, GUÍAS O PROTOCOLOS DE ATENCIÓN</v>
      </c>
      <c r="C162" s="140" t="s">
        <v>820</v>
      </c>
      <c r="D162" s="141">
        <v>2482</v>
      </c>
      <c r="E162" s="142">
        <v>2186</v>
      </c>
      <c r="F162" s="142">
        <v>2653</v>
      </c>
      <c r="G162" s="142">
        <v>2269</v>
      </c>
      <c r="H162" s="142">
        <v>2059</v>
      </c>
      <c r="I162" s="142">
        <v>1859</v>
      </c>
      <c r="J162" s="142">
        <v>1738</v>
      </c>
      <c r="K162" s="142">
        <v>1620</v>
      </c>
      <c r="L162" s="142">
        <v>2184</v>
      </c>
      <c r="M162" s="142">
        <v>1494</v>
      </c>
      <c r="N162" s="83">
        <v>1705</v>
      </c>
      <c r="O162" s="84">
        <v>1803</v>
      </c>
      <c r="P162" s="45">
        <f t="shared" ref="P162:P215" si="17">SUM(D162:O162)</f>
        <v>24052</v>
      </c>
      <c r="Q162" s="54">
        <f t="shared" si="15"/>
        <v>2.4130835439380455E-2</v>
      </c>
      <c r="S162" s="130"/>
    </row>
    <row r="163" spans="1:19" ht="30.75" hidden="1" customHeight="1" thickBot="1" x14ac:dyDescent="0.3">
      <c r="A163" s="40" t="s">
        <v>749</v>
      </c>
      <c r="B163" s="69" t="str">
        <f t="shared" si="14"/>
        <v>DEMORA DE LA REFERENCIA O CONTRARREFERENCIA</v>
      </c>
      <c r="C163" s="140" t="s">
        <v>746</v>
      </c>
      <c r="D163" s="141">
        <v>1429</v>
      </c>
      <c r="E163" s="142">
        <v>1285</v>
      </c>
      <c r="F163" s="142">
        <v>1833</v>
      </c>
      <c r="G163" s="142">
        <v>2096</v>
      </c>
      <c r="H163" s="142">
        <v>1776</v>
      </c>
      <c r="I163" s="142">
        <v>2272</v>
      </c>
      <c r="J163" s="142">
        <v>2045</v>
      </c>
      <c r="K163" s="142">
        <v>1690</v>
      </c>
      <c r="L163" s="142">
        <v>1791</v>
      </c>
      <c r="M163" s="142">
        <v>1768</v>
      </c>
      <c r="N163" s="83">
        <v>2142</v>
      </c>
      <c r="O163" s="84">
        <v>1811</v>
      </c>
      <c r="P163" s="45">
        <f t="shared" si="17"/>
        <v>21938</v>
      </c>
      <c r="Q163" s="54">
        <f t="shared" si="15"/>
        <v>2.2009906364091485E-2</v>
      </c>
      <c r="S163" s="130"/>
    </row>
    <row r="164" spans="1:19" ht="45.75" hidden="1" customHeight="1" thickBot="1" x14ac:dyDescent="0.3">
      <c r="A164" s="40" t="s">
        <v>280</v>
      </c>
      <c r="B164" s="69" t="str">
        <f t="shared" si="14"/>
        <v>NO RECONOCIMIENTO Y PAGO DE LAS PRESTACIONES ECONÓMICAS DERIVADAS DE LICENCIA DE ENFERMEDAD GENERAL</v>
      </c>
      <c r="C164" s="140" t="s">
        <v>821</v>
      </c>
      <c r="D164" s="141">
        <v>2658</v>
      </c>
      <c r="E164" s="142">
        <v>4995</v>
      </c>
      <c r="F164" s="142">
        <v>1630</v>
      </c>
      <c r="G164" s="142">
        <v>1278</v>
      </c>
      <c r="H164" s="142">
        <v>1211</v>
      </c>
      <c r="I164" s="142">
        <v>1374</v>
      </c>
      <c r="J164" s="142">
        <v>1520</v>
      </c>
      <c r="K164" s="142">
        <v>1663</v>
      </c>
      <c r="L164" s="142">
        <v>1305</v>
      </c>
      <c r="M164" s="142">
        <v>1084</v>
      </c>
      <c r="N164" s="83">
        <v>1098</v>
      </c>
      <c r="O164" s="84">
        <v>1250</v>
      </c>
      <c r="P164" s="45">
        <f t="shared" si="17"/>
        <v>21066</v>
      </c>
      <c r="Q164" s="54">
        <f t="shared" si="15"/>
        <v>2.1135048202477493E-2</v>
      </c>
      <c r="S164" s="130"/>
    </row>
    <row r="165" spans="1:19" ht="30.75" hidden="1" customHeight="1" thickBot="1" x14ac:dyDescent="0.3">
      <c r="A165" s="40" t="s">
        <v>291</v>
      </c>
      <c r="B165" s="69" t="str">
        <f t="shared" si="14"/>
        <v>FALTA DE OPORTUNIDAD EN LA ASIGNACIÓN DE CITAS DE CONSULTA MÉDICA ESPECIALIZADA DE MEDICINA INTERNA</v>
      </c>
      <c r="C165" s="143" t="s">
        <v>822</v>
      </c>
      <c r="D165" s="144">
        <v>903</v>
      </c>
      <c r="E165" s="145">
        <v>1211</v>
      </c>
      <c r="F165" s="145">
        <v>1446</v>
      </c>
      <c r="G165" s="145">
        <v>1309</v>
      </c>
      <c r="H165" s="145">
        <v>1179</v>
      </c>
      <c r="I165" s="145">
        <v>1433</v>
      </c>
      <c r="J165" s="145">
        <v>1913</v>
      </c>
      <c r="K165" s="145">
        <v>2144</v>
      </c>
      <c r="L165" s="142">
        <v>2197</v>
      </c>
      <c r="M165" s="142">
        <v>1795</v>
      </c>
      <c r="N165" s="63">
        <v>1845</v>
      </c>
      <c r="O165" s="62">
        <v>1338</v>
      </c>
      <c r="P165" s="45">
        <f t="shared" si="17"/>
        <v>18713</v>
      </c>
      <c r="Q165" s="54">
        <f t="shared" si="15"/>
        <v>1.8774335754911296E-2</v>
      </c>
      <c r="S165" s="130"/>
    </row>
    <row r="166" spans="1:19" ht="45.75" hidden="1" customHeight="1" thickBot="1" x14ac:dyDescent="0.3">
      <c r="A166" s="40" t="s">
        <v>748</v>
      </c>
      <c r="B166" s="69" t="str">
        <f t="shared" si="14"/>
        <v>DIFICULTAD DE COMUNICACIÓN CON LAS LÍNEAS PARA CITAS</v>
      </c>
      <c r="C166" s="140" t="s">
        <v>823</v>
      </c>
      <c r="D166" s="141">
        <v>1765</v>
      </c>
      <c r="E166" s="142">
        <v>1723</v>
      </c>
      <c r="F166" s="142">
        <v>2286</v>
      </c>
      <c r="G166" s="142">
        <v>2297</v>
      </c>
      <c r="H166" s="142">
        <v>1798</v>
      </c>
      <c r="I166" s="142">
        <v>1575</v>
      </c>
      <c r="J166" s="142">
        <v>953</v>
      </c>
      <c r="K166" s="142">
        <v>1126</v>
      </c>
      <c r="L166" s="142">
        <v>961</v>
      </c>
      <c r="M166" s="142">
        <v>471</v>
      </c>
      <c r="N166" s="83">
        <v>753</v>
      </c>
      <c r="O166" s="84">
        <v>519</v>
      </c>
      <c r="P166" s="45">
        <f t="shared" si="17"/>
        <v>16227</v>
      </c>
      <c r="Q166" s="54">
        <f t="shared" si="15"/>
        <v>1.6280187372144796E-2</v>
      </c>
      <c r="S166" s="130"/>
    </row>
    <row r="167" spans="1:19" ht="60.75" hidden="1" customHeight="1" thickBot="1" x14ac:dyDescent="0.3">
      <c r="A167" s="40" t="s">
        <v>289</v>
      </c>
      <c r="B167" s="69" t="str">
        <f t="shared" si="14"/>
        <v>DEMORA DE LA AUTORIZACIÓN DE MEDICAMENTOS POS</v>
      </c>
      <c r="C167" s="140" t="s">
        <v>824</v>
      </c>
      <c r="D167" s="141">
        <v>1127</v>
      </c>
      <c r="E167" s="142">
        <v>1227</v>
      </c>
      <c r="F167" s="142">
        <v>1370</v>
      </c>
      <c r="G167" s="142">
        <v>1248</v>
      </c>
      <c r="H167" s="142">
        <v>1100</v>
      </c>
      <c r="I167" s="142">
        <v>1074</v>
      </c>
      <c r="J167" s="142">
        <v>1437</v>
      </c>
      <c r="K167" s="142">
        <v>1654</v>
      </c>
      <c r="L167" s="142">
        <v>1490</v>
      </c>
      <c r="M167" s="142">
        <v>1324</v>
      </c>
      <c r="N167" s="83">
        <v>1423</v>
      </c>
      <c r="O167" s="84">
        <v>1310</v>
      </c>
      <c r="P167" s="45">
        <f t="shared" si="17"/>
        <v>15784</v>
      </c>
      <c r="Q167" s="54">
        <f t="shared" si="15"/>
        <v>1.5835735347379889E-2</v>
      </c>
      <c r="S167" s="130"/>
    </row>
    <row r="168" spans="1:19" ht="30.75" hidden="1" thickBot="1" x14ac:dyDescent="0.3">
      <c r="A168" s="40" t="s">
        <v>751</v>
      </c>
      <c r="B168" s="69" t="str">
        <f t="shared" si="14"/>
        <v>DEMORA DE LA TOMA DE EXÁMENES DE LABORATORIO - COVID 19</v>
      </c>
      <c r="C168" s="140" t="s">
        <v>759</v>
      </c>
      <c r="D168" s="141"/>
      <c r="E168" s="142">
        <v>891</v>
      </c>
      <c r="F168" s="142">
        <v>1192</v>
      </c>
      <c r="G168" s="142">
        <v>3567</v>
      </c>
      <c r="H168" s="142">
        <v>2939</v>
      </c>
      <c r="I168" s="142">
        <v>4065</v>
      </c>
      <c r="J168" s="142">
        <v>1923</v>
      </c>
      <c r="K168" s="142">
        <v>385</v>
      </c>
      <c r="L168" s="142">
        <v>239</v>
      </c>
      <c r="M168" s="142">
        <v>139</v>
      </c>
      <c r="N168" s="83">
        <v>168</v>
      </c>
      <c r="O168" s="84">
        <v>232</v>
      </c>
      <c r="P168" s="45">
        <f t="shared" si="17"/>
        <v>15740</v>
      </c>
      <c r="Q168" s="54">
        <f t="shared" si="15"/>
        <v>1.5791591128215883E-2</v>
      </c>
      <c r="S168" s="130"/>
    </row>
    <row r="169" spans="1:19" ht="30.75" hidden="1" thickBot="1" x14ac:dyDescent="0.3">
      <c r="A169" s="40" t="s">
        <v>296</v>
      </c>
      <c r="B169" s="69" t="str">
        <f t="shared" si="14"/>
        <v>DEMORA DE LA AUTORIZACIÓN DE ATENCIONES DOMICILIARIAS</v>
      </c>
      <c r="C169" s="140" t="s">
        <v>825</v>
      </c>
      <c r="D169" s="141">
        <v>3095</v>
      </c>
      <c r="E169" s="142">
        <v>1117</v>
      </c>
      <c r="F169" s="142">
        <v>1058</v>
      </c>
      <c r="G169" s="142">
        <v>1284</v>
      </c>
      <c r="H169" s="142">
        <v>1119</v>
      </c>
      <c r="I169" s="142">
        <v>1114</v>
      </c>
      <c r="J169" s="142">
        <v>1018</v>
      </c>
      <c r="K169" s="142">
        <v>1004</v>
      </c>
      <c r="L169" s="142">
        <v>902</v>
      </c>
      <c r="M169" s="142">
        <v>731</v>
      </c>
      <c r="N169" s="83">
        <v>829</v>
      </c>
      <c r="O169" s="84">
        <v>807</v>
      </c>
      <c r="P169" s="45">
        <f t="shared" si="17"/>
        <v>14078</v>
      </c>
      <c r="Q169" s="54">
        <f t="shared" si="15"/>
        <v>1.4124143577066275E-2</v>
      </c>
      <c r="S169" s="130"/>
    </row>
    <row r="170" spans="1:19" ht="30.75" hidden="1" thickBot="1" x14ac:dyDescent="0.3">
      <c r="A170" s="40" t="s">
        <v>279</v>
      </c>
      <c r="B170" s="69" t="str">
        <f t="shared" si="14"/>
        <v>DEMORA DE LA AUTORIZACIÓN DE CIRUGÍA POS</v>
      </c>
      <c r="C170" s="140" t="s">
        <v>826</v>
      </c>
      <c r="D170" s="141">
        <v>704</v>
      </c>
      <c r="E170" s="142">
        <v>951</v>
      </c>
      <c r="F170" s="142">
        <v>1223</v>
      </c>
      <c r="G170" s="142">
        <v>974</v>
      </c>
      <c r="H170" s="142">
        <v>848</v>
      </c>
      <c r="I170" s="142">
        <v>909</v>
      </c>
      <c r="J170" s="142">
        <v>1118</v>
      </c>
      <c r="K170" s="142">
        <v>1453</v>
      </c>
      <c r="L170" s="142">
        <v>1541</v>
      </c>
      <c r="M170" s="142">
        <v>1357</v>
      </c>
      <c r="N170" s="83">
        <v>1437</v>
      </c>
      <c r="O170" s="84">
        <v>984</v>
      </c>
      <c r="P170" s="45">
        <f t="shared" si="17"/>
        <v>13499</v>
      </c>
      <c r="Q170" s="54">
        <f t="shared" si="15"/>
        <v>1.3543245783976251E-2</v>
      </c>
      <c r="S170" s="130"/>
    </row>
    <row r="171" spans="1:19" ht="30.75" hidden="1" thickBot="1" x14ac:dyDescent="0.3">
      <c r="A171" s="40" t="s">
        <v>286</v>
      </c>
      <c r="B171" s="69" t="str">
        <f t="shared" si="14"/>
        <v>DEMORA DE LA AUTORIZACIÓN DE INSUMOS NO-POS</v>
      </c>
      <c r="C171" s="140" t="s">
        <v>827</v>
      </c>
      <c r="D171" s="141">
        <v>1272</v>
      </c>
      <c r="E171" s="142">
        <v>1239</v>
      </c>
      <c r="F171" s="142">
        <v>1295</v>
      </c>
      <c r="G171" s="142">
        <v>1135</v>
      </c>
      <c r="H171" s="142">
        <v>1047</v>
      </c>
      <c r="I171" s="142">
        <v>1225</v>
      </c>
      <c r="J171" s="142">
        <v>1204</v>
      </c>
      <c r="K171" s="142">
        <v>1080</v>
      </c>
      <c r="L171" s="142">
        <v>1082</v>
      </c>
      <c r="M171" s="142">
        <v>969</v>
      </c>
      <c r="N171" s="83">
        <v>1091</v>
      </c>
      <c r="O171" s="84">
        <v>784</v>
      </c>
      <c r="P171" s="45">
        <f t="shared" si="17"/>
        <v>13423</v>
      </c>
      <c r="Q171" s="54">
        <f t="shared" si="15"/>
        <v>1.3466996678147507E-2</v>
      </c>
      <c r="S171" s="130"/>
    </row>
    <row r="172" spans="1:19" ht="30.75" hidden="1" thickBot="1" x14ac:dyDescent="0.3">
      <c r="A172" s="40" t="s">
        <v>275</v>
      </c>
      <c r="B172" s="69" t="str">
        <f t="shared" si="14"/>
        <v>RESTRICCIÓN EN LA LIBRE ESCOGENCIA DE EPS</v>
      </c>
      <c r="C172" s="140" t="s">
        <v>828</v>
      </c>
      <c r="D172" s="141">
        <v>808</v>
      </c>
      <c r="E172" s="142">
        <v>1076</v>
      </c>
      <c r="F172" s="142">
        <v>1436</v>
      </c>
      <c r="G172" s="142">
        <v>1373</v>
      </c>
      <c r="H172" s="142">
        <v>1226</v>
      </c>
      <c r="I172" s="142">
        <v>952</v>
      </c>
      <c r="J172" s="142">
        <v>1237</v>
      </c>
      <c r="K172" s="142">
        <v>1064</v>
      </c>
      <c r="L172" s="142">
        <v>994</v>
      </c>
      <c r="M172" s="142">
        <v>847</v>
      </c>
      <c r="N172" s="83">
        <v>771</v>
      </c>
      <c r="O172" s="84">
        <v>535</v>
      </c>
      <c r="P172" s="45">
        <f t="shared" si="17"/>
        <v>12319</v>
      </c>
      <c r="Q172" s="54">
        <f t="shared" si="15"/>
        <v>1.2359378088214195E-2</v>
      </c>
      <c r="S172" s="130"/>
    </row>
    <row r="173" spans="1:19" ht="30.75" hidden="1" thickBot="1" x14ac:dyDescent="0.3">
      <c r="A173" s="40" t="s">
        <v>310</v>
      </c>
      <c r="B173" s="69" t="str">
        <f t="shared" si="14"/>
        <v>DEFICIENTE INFORMACIÓN SOBRE DERECHOS, DEBERES Y TRÁMITES</v>
      </c>
      <c r="C173" s="140" t="s">
        <v>311</v>
      </c>
      <c r="D173" s="141">
        <v>646</v>
      </c>
      <c r="E173" s="142">
        <v>978</v>
      </c>
      <c r="F173" s="142">
        <v>745</v>
      </c>
      <c r="G173" s="142">
        <v>745</v>
      </c>
      <c r="H173" s="142">
        <v>922</v>
      </c>
      <c r="I173" s="142">
        <v>769</v>
      </c>
      <c r="J173" s="142">
        <v>890</v>
      </c>
      <c r="K173" s="142">
        <v>961</v>
      </c>
      <c r="L173" s="142">
        <v>990</v>
      </c>
      <c r="M173" s="142">
        <v>1203</v>
      </c>
      <c r="N173" s="83">
        <v>1204</v>
      </c>
      <c r="O173" s="84">
        <v>959</v>
      </c>
      <c r="P173" s="45">
        <f t="shared" si="17"/>
        <v>11012</v>
      </c>
      <c r="Q173" s="54">
        <f t="shared" si="15"/>
        <v>1.1048094123501479E-2</v>
      </c>
      <c r="S173" s="130"/>
    </row>
    <row r="174" spans="1:19" ht="30.75" hidden="1" thickBot="1" x14ac:dyDescent="0.3">
      <c r="A174" s="40" t="s">
        <v>287</v>
      </c>
      <c r="B174" s="69" t="str">
        <f t="shared" si="14"/>
        <v>DEMORA DE LA AUTORIZACIÓN DE PROCEDIMIENTOS POS</v>
      </c>
      <c r="C174" s="140" t="s">
        <v>829</v>
      </c>
      <c r="D174" s="141">
        <v>608</v>
      </c>
      <c r="E174" s="142">
        <v>716</v>
      </c>
      <c r="F174" s="142">
        <v>955</v>
      </c>
      <c r="G174" s="142">
        <v>674</v>
      </c>
      <c r="H174" s="142">
        <v>551</v>
      </c>
      <c r="I174" s="142">
        <v>743</v>
      </c>
      <c r="J174" s="142">
        <v>872</v>
      </c>
      <c r="K174" s="142">
        <v>993</v>
      </c>
      <c r="L174" s="142">
        <v>1105</v>
      </c>
      <c r="M174" s="142">
        <v>1166</v>
      </c>
      <c r="N174" s="83">
        <v>1054</v>
      </c>
      <c r="O174" s="84">
        <v>728</v>
      </c>
      <c r="P174" s="45">
        <f t="shared" si="17"/>
        <v>10165</v>
      </c>
      <c r="Q174" s="54">
        <f t="shared" si="15"/>
        <v>1.0198317904594309E-2</v>
      </c>
      <c r="S174" s="130"/>
    </row>
    <row r="175" spans="1:19" ht="45.75" hidden="1" thickBot="1" x14ac:dyDescent="0.3">
      <c r="A175" s="40" t="s">
        <v>288</v>
      </c>
      <c r="B175" s="69" t="str">
        <f t="shared" si="14"/>
        <v>FALTA DE OPORTUNIDAD EN LA PROGRAMACIÓN DE PROCEDIMIENTOS QUIRÚRGICOS</v>
      </c>
      <c r="C175" s="140" t="s">
        <v>830</v>
      </c>
      <c r="D175" s="141">
        <v>343</v>
      </c>
      <c r="E175" s="142">
        <v>492</v>
      </c>
      <c r="F175" s="142">
        <v>643</v>
      </c>
      <c r="G175" s="142">
        <v>539</v>
      </c>
      <c r="H175" s="142">
        <v>487</v>
      </c>
      <c r="I175" s="142">
        <v>635</v>
      </c>
      <c r="J175" s="142">
        <v>981</v>
      </c>
      <c r="K175" s="142">
        <v>1128</v>
      </c>
      <c r="L175" s="142">
        <v>1228</v>
      </c>
      <c r="M175" s="142">
        <v>1084</v>
      </c>
      <c r="N175" s="83">
        <v>1124</v>
      </c>
      <c r="O175" s="84">
        <v>906</v>
      </c>
      <c r="P175" s="45">
        <f t="shared" si="17"/>
        <v>9590</v>
      </c>
      <c r="Q175" s="54">
        <f t="shared" si="15"/>
        <v>9.6214332223373764E-3</v>
      </c>
      <c r="S175" s="130"/>
    </row>
    <row r="176" spans="1:19" ht="30.75" hidden="1" thickBot="1" x14ac:dyDescent="0.3">
      <c r="A176" s="40" t="s">
        <v>300</v>
      </c>
      <c r="B176" s="69" t="str">
        <f t="shared" si="14"/>
        <v>DEFICIENCIAS EN LA SEGURIDAD DEL PACIENTE</v>
      </c>
      <c r="C176" s="140" t="s">
        <v>301</v>
      </c>
      <c r="D176" s="141">
        <v>672</v>
      </c>
      <c r="E176" s="142">
        <v>627</v>
      </c>
      <c r="F176" s="142">
        <v>631</v>
      </c>
      <c r="G176" s="142">
        <v>629</v>
      </c>
      <c r="H176" s="142">
        <v>635</v>
      </c>
      <c r="I176" s="142">
        <v>468</v>
      </c>
      <c r="J176" s="142">
        <v>465</v>
      </c>
      <c r="K176" s="142">
        <v>578</v>
      </c>
      <c r="L176" s="142">
        <v>687</v>
      </c>
      <c r="M176" s="142">
        <v>679</v>
      </c>
      <c r="N176" s="83">
        <v>1097</v>
      </c>
      <c r="O176" s="84">
        <v>1605</v>
      </c>
      <c r="P176" s="45">
        <f t="shared" si="17"/>
        <v>8773</v>
      </c>
      <c r="Q176" s="54">
        <f t="shared" si="15"/>
        <v>8.801755334678394E-3</v>
      </c>
      <c r="S176" s="130"/>
    </row>
    <row r="177" spans="1:19" ht="75.75" hidden="1" thickBot="1" x14ac:dyDescent="0.3">
      <c r="A177" s="40" t="s">
        <v>297</v>
      </c>
      <c r="B177" s="69" t="str">
        <f t="shared" si="14"/>
        <v>FALTA DE OPORTUNIDAD PARA LA ATENCIÓN DE SERVICIOS DE APOYO TERAPÉUTICO (TERAPIAS FÍSICAS, RESPIRATORIAS, OCUPACIONALES, DEL LENGUAJE ETC.)</v>
      </c>
      <c r="C177" s="140" t="s">
        <v>831</v>
      </c>
      <c r="D177" s="141">
        <v>400</v>
      </c>
      <c r="E177" s="142">
        <v>492</v>
      </c>
      <c r="F177" s="142">
        <v>619</v>
      </c>
      <c r="G177" s="142">
        <v>507</v>
      </c>
      <c r="H177" s="142">
        <v>541</v>
      </c>
      <c r="I177" s="142">
        <v>631</v>
      </c>
      <c r="J177" s="142">
        <v>834</v>
      </c>
      <c r="K177" s="142">
        <v>1001</v>
      </c>
      <c r="L177" s="142">
        <v>984</v>
      </c>
      <c r="M177" s="142">
        <v>930</v>
      </c>
      <c r="N177" s="83">
        <v>1005</v>
      </c>
      <c r="O177" s="84">
        <v>783</v>
      </c>
      <c r="P177" s="45">
        <f t="shared" si="17"/>
        <v>8727</v>
      </c>
      <c r="Q177" s="54">
        <f t="shared" si="15"/>
        <v>8.7556045600978398E-3</v>
      </c>
      <c r="S177" s="130"/>
    </row>
    <row r="178" spans="1:19" ht="60.75" hidden="1" thickBot="1" x14ac:dyDescent="0.3">
      <c r="A178" s="40" t="s">
        <v>305</v>
      </c>
      <c r="B178" s="69" t="str">
        <f t="shared" si="14"/>
        <v>FALTA DE OPORTUNIDAD PARA LA PRESTACIÓN DE SERVICIOS DE LABORATORIO CLÍNICO Y ANATOMO-PATOLOGÍA</v>
      </c>
      <c r="C178" s="143" t="s">
        <v>832</v>
      </c>
      <c r="D178" s="144">
        <v>3287</v>
      </c>
      <c r="E178" s="145">
        <v>562</v>
      </c>
      <c r="F178" s="145">
        <v>400</v>
      </c>
      <c r="G178" s="145">
        <v>312</v>
      </c>
      <c r="H178" s="145">
        <v>344</v>
      </c>
      <c r="I178" s="145">
        <v>357</v>
      </c>
      <c r="J178" s="145">
        <v>378</v>
      </c>
      <c r="K178" s="145">
        <v>463</v>
      </c>
      <c r="L178" s="142">
        <v>428</v>
      </c>
      <c r="M178" s="142">
        <v>447</v>
      </c>
      <c r="N178" s="63">
        <v>599</v>
      </c>
      <c r="O178" s="62">
        <v>365</v>
      </c>
      <c r="P178" s="45">
        <f t="shared" si="17"/>
        <v>7942</v>
      </c>
      <c r="Q178" s="54">
        <f t="shared" si="15"/>
        <v>7.968031559103592E-3</v>
      </c>
      <c r="S178" s="130"/>
    </row>
    <row r="179" spans="1:19" ht="45.75" hidden="1" thickBot="1" x14ac:dyDescent="0.3">
      <c r="A179" s="40" t="s">
        <v>320</v>
      </c>
      <c r="B179" s="69" t="str">
        <f t="shared" si="14"/>
        <v>USUARIO DESINFORMADO FRENTE AL SERVICIO DE ATENCIÓN EN SALUD QUE LE ESTÁN PRESTANDO</v>
      </c>
      <c r="C179" s="140" t="s">
        <v>833</v>
      </c>
      <c r="D179" s="141">
        <v>810</v>
      </c>
      <c r="E179" s="142">
        <v>807</v>
      </c>
      <c r="F179" s="142">
        <v>738</v>
      </c>
      <c r="G179" s="142">
        <v>738</v>
      </c>
      <c r="H179" s="142">
        <v>706</v>
      </c>
      <c r="I179" s="142">
        <v>628</v>
      </c>
      <c r="J179" s="142">
        <v>666</v>
      </c>
      <c r="K179" s="142">
        <v>589</v>
      </c>
      <c r="L179" s="142">
        <v>543</v>
      </c>
      <c r="M179" s="142">
        <v>487</v>
      </c>
      <c r="N179" s="83">
        <v>435</v>
      </c>
      <c r="O179" s="84">
        <v>512</v>
      </c>
      <c r="P179" s="45">
        <f t="shared" si="17"/>
        <v>7659</v>
      </c>
      <c r="Q179" s="54">
        <f t="shared" si="15"/>
        <v>7.6841039676623533E-3</v>
      </c>
      <c r="S179" s="130"/>
    </row>
    <row r="180" spans="1:19" ht="45.75" hidden="1" thickBot="1" x14ac:dyDescent="0.3">
      <c r="A180" s="40" t="s">
        <v>752</v>
      </c>
      <c r="B180" s="69" t="str">
        <f t="shared" si="14"/>
        <v>FALTA DE OPORTUNIDAD EN LA ENTREGA DE RESULTADOS DE EXÁMENES DE LABORATORIO - COVID 19</v>
      </c>
      <c r="C180" s="140" t="s">
        <v>760</v>
      </c>
      <c r="D180" s="141"/>
      <c r="E180" s="142">
        <v>464</v>
      </c>
      <c r="F180" s="142">
        <v>417</v>
      </c>
      <c r="G180" s="142">
        <v>1563</v>
      </c>
      <c r="H180" s="142">
        <v>1307</v>
      </c>
      <c r="I180" s="142">
        <v>1915</v>
      </c>
      <c r="J180" s="142">
        <v>965</v>
      </c>
      <c r="K180" s="142">
        <v>157</v>
      </c>
      <c r="L180" s="142">
        <v>85</v>
      </c>
      <c r="M180" s="142">
        <v>72</v>
      </c>
      <c r="N180" s="83">
        <v>71</v>
      </c>
      <c r="O180" s="84">
        <v>75</v>
      </c>
      <c r="P180" s="45">
        <f t="shared" si="17"/>
        <v>7091</v>
      </c>
      <c r="Q180" s="54">
        <f t="shared" si="15"/>
        <v>7.1142422293633302E-3</v>
      </c>
      <c r="S180" s="130"/>
    </row>
    <row r="181" spans="1:19" ht="45.75" hidden="1" thickBot="1" x14ac:dyDescent="0.3">
      <c r="A181" s="40" t="s">
        <v>307</v>
      </c>
      <c r="B181" s="69" t="str">
        <f t="shared" si="14"/>
        <v>FALTA DE OPORTUNIDAD EN LA ASIGNACIÓN DE CITAS DE CONSULTA MÉDICA ESPECIALIZADA GINECOLOGÍA</v>
      </c>
      <c r="C181" s="140" t="s">
        <v>834</v>
      </c>
      <c r="D181" s="141">
        <v>361</v>
      </c>
      <c r="E181" s="142">
        <v>417</v>
      </c>
      <c r="F181" s="142">
        <v>578</v>
      </c>
      <c r="G181" s="142">
        <v>487</v>
      </c>
      <c r="H181" s="142">
        <v>441</v>
      </c>
      <c r="I181" s="142">
        <v>530</v>
      </c>
      <c r="J181" s="142">
        <v>642</v>
      </c>
      <c r="K181" s="142">
        <v>769</v>
      </c>
      <c r="L181" s="142">
        <v>811</v>
      </c>
      <c r="M181" s="142">
        <v>799</v>
      </c>
      <c r="N181" s="83">
        <v>739</v>
      </c>
      <c r="O181" s="84">
        <v>468</v>
      </c>
      <c r="P181" s="45">
        <f t="shared" si="17"/>
        <v>7042</v>
      </c>
      <c r="Q181" s="54">
        <f t="shared" si="15"/>
        <v>7.0650816216579568E-3</v>
      </c>
      <c r="S181" s="130"/>
    </row>
    <row r="182" spans="1:19" ht="30.75" hidden="1" thickBot="1" x14ac:dyDescent="0.3">
      <c r="A182" s="40" t="s">
        <v>293</v>
      </c>
      <c r="B182" s="69" t="str">
        <f t="shared" si="14"/>
        <v>DEMORA EN EL RECONOCIMIENTO DE REEMBOLSOS (VIÁTICOS)</v>
      </c>
      <c r="C182" s="143" t="s">
        <v>835</v>
      </c>
      <c r="D182" s="144">
        <v>294</v>
      </c>
      <c r="E182" s="145">
        <v>475</v>
      </c>
      <c r="F182" s="145">
        <v>543</v>
      </c>
      <c r="G182" s="145">
        <v>443</v>
      </c>
      <c r="H182" s="145">
        <v>434</v>
      </c>
      <c r="I182" s="145">
        <v>467</v>
      </c>
      <c r="J182" s="145">
        <v>494</v>
      </c>
      <c r="K182" s="145">
        <v>600</v>
      </c>
      <c r="L182" s="142">
        <v>805</v>
      </c>
      <c r="M182" s="142">
        <v>683</v>
      </c>
      <c r="N182" s="63">
        <v>848</v>
      </c>
      <c r="O182" s="62">
        <v>760</v>
      </c>
      <c r="P182" s="45">
        <f t="shared" si="17"/>
        <v>6846</v>
      </c>
      <c r="Q182" s="54">
        <f t="shared" si="15"/>
        <v>6.8684391908364626E-3</v>
      </c>
      <c r="S182" s="130"/>
    </row>
    <row r="183" spans="1:19" ht="30.75" hidden="1" thickBot="1" x14ac:dyDescent="0.3">
      <c r="A183" s="40" t="s">
        <v>284</v>
      </c>
      <c r="B183" s="69" t="str">
        <f t="shared" si="14"/>
        <v>INCONSISTENCIAS EN EL REPORTE DE NOVEDADES</v>
      </c>
      <c r="C183" s="143" t="s">
        <v>285</v>
      </c>
      <c r="D183" s="144">
        <v>582</v>
      </c>
      <c r="E183" s="145">
        <v>647</v>
      </c>
      <c r="F183" s="145">
        <v>763</v>
      </c>
      <c r="G183" s="145">
        <v>660</v>
      </c>
      <c r="H183" s="145">
        <v>556</v>
      </c>
      <c r="I183" s="145">
        <v>539</v>
      </c>
      <c r="J183" s="145">
        <v>627</v>
      </c>
      <c r="K183" s="145">
        <v>532</v>
      </c>
      <c r="L183" s="142">
        <v>587</v>
      </c>
      <c r="M183" s="142">
        <v>443</v>
      </c>
      <c r="N183" s="63">
        <v>386</v>
      </c>
      <c r="O183" s="62">
        <v>276</v>
      </c>
      <c r="P183" s="45">
        <f t="shared" si="17"/>
        <v>6598</v>
      </c>
      <c r="Q183" s="54">
        <f t="shared" si="15"/>
        <v>6.6196263191847767E-3</v>
      </c>
      <c r="S183" s="130"/>
    </row>
    <row r="184" spans="1:19" ht="45.75" hidden="1" thickBot="1" x14ac:dyDescent="0.3">
      <c r="A184" s="40" t="s">
        <v>325</v>
      </c>
      <c r="B184" s="69" t="str">
        <f t="shared" si="14"/>
        <v>FALTA DE OPORTUNIDAD EN LA ASIGNACIÓN DE CITAS DE CONSULTA ODONTOLÓGICA BÁSICA</v>
      </c>
      <c r="C184" s="140" t="s">
        <v>836</v>
      </c>
      <c r="D184" s="141">
        <v>401</v>
      </c>
      <c r="E184" s="142">
        <v>524</v>
      </c>
      <c r="F184" s="142">
        <v>697</v>
      </c>
      <c r="G184" s="142">
        <v>546</v>
      </c>
      <c r="H184" s="142">
        <v>424</v>
      </c>
      <c r="I184" s="142">
        <v>470</v>
      </c>
      <c r="J184" s="142">
        <v>578</v>
      </c>
      <c r="K184" s="142">
        <v>685</v>
      </c>
      <c r="L184" s="142">
        <v>746</v>
      </c>
      <c r="M184" s="142">
        <v>561</v>
      </c>
      <c r="N184" s="83">
        <v>567</v>
      </c>
      <c r="O184" s="84">
        <v>381</v>
      </c>
      <c r="P184" s="45">
        <f t="shared" si="17"/>
        <v>6580</v>
      </c>
      <c r="Q184" s="54">
        <f t="shared" si="15"/>
        <v>6.6015673204358636E-3</v>
      </c>
      <c r="S184" s="130"/>
    </row>
    <row r="185" spans="1:19" ht="30.75" hidden="1" thickBot="1" x14ac:dyDescent="0.3">
      <c r="A185" s="40" t="s">
        <v>295</v>
      </c>
      <c r="B185" s="69" t="str">
        <f t="shared" si="14"/>
        <v>RESTRICCIÓN EN LA LIBRE ESCOGENCIA DE IPS</v>
      </c>
      <c r="C185" s="140" t="s">
        <v>837</v>
      </c>
      <c r="D185" s="141">
        <v>402</v>
      </c>
      <c r="E185" s="142">
        <v>559</v>
      </c>
      <c r="F185" s="142">
        <v>554</v>
      </c>
      <c r="G185" s="142">
        <v>478</v>
      </c>
      <c r="H185" s="142">
        <v>411</v>
      </c>
      <c r="I185" s="142">
        <v>461</v>
      </c>
      <c r="J185" s="142">
        <v>586</v>
      </c>
      <c r="K185" s="142">
        <v>576</v>
      </c>
      <c r="L185" s="142">
        <v>662</v>
      </c>
      <c r="M185" s="142">
        <v>613</v>
      </c>
      <c r="N185" s="83">
        <v>594</v>
      </c>
      <c r="O185" s="84">
        <v>491</v>
      </c>
      <c r="P185" s="45">
        <f t="shared" si="17"/>
        <v>6387</v>
      </c>
      <c r="Q185" s="54">
        <f t="shared" si="15"/>
        <v>6.4079347227391894E-3</v>
      </c>
      <c r="S185" s="130"/>
    </row>
    <row r="186" spans="1:19" ht="60.75" hidden="1" thickBot="1" x14ac:dyDescent="0.3">
      <c r="A186" s="40" t="s">
        <v>303</v>
      </c>
      <c r="B186" s="69" t="str">
        <f t="shared" si="14"/>
        <v>FALTA DE OPORTUNIDAD EN LA ASIGNACIÓN DE CITAS DE CONSULTA MÉDICA ESPECIALIZADA DE CARDIOLOGÍA</v>
      </c>
      <c r="C186" s="140" t="s">
        <v>838</v>
      </c>
      <c r="D186" s="141">
        <v>286</v>
      </c>
      <c r="E186" s="142">
        <v>386</v>
      </c>
      <c r="F186" s="142">
        <v>508</v>
      </c>
      <c r="G186" s="142">
        <v>436</v>
      </c>
      <c r="H186" s="142">
        <v>352</v>
      </c>
      <c r="I186" s="142">
        <v>436</v>
      </c>
      <c r="J186" s="142">
        <v>572</v>
      </c>
      <c r="K186" s="142">
        <v>687</v>
      </c>
      <c r="L186" s="142">
        <v>737</v>
      </c>
      <c r="M186" s="142">
        <v>683</v>
      </c>
      <c r="N186" s="83">
        <v>777</v>
      </c>
      <c r="O186" s="84">
        <v>482</v>
      </c>
      <c r="P186" s="45">
        <f t="shared" si="17"/>
        <v>6342</v>
      </c>
      <c r="Q186" s="54">
        <f t="shared" si="15"/>
        <v>6.3627872258669076E-3</v>
      </c>
      <c r="S186" s="130"/>
    </row>
    <row r="187" spans="1:19" ht="45.75" hidden="1" thickBot="1" x14ac:dyDescent="0.3">
      <c r="A187" s="40" t="s">
        <v>283</v>
      </c>
      <c r="B187" s="69" t="str">
        <f t="shared" si="14"/>
        <v>BARRERAS DE ACCESO EN LA AFILIACIÓN (TRAMITES NO CONTEMPLADOS POR LA LEY)</v>
      </c>
      <c r="C187" s="143" t="s">
        <v>839</v>
      </c>
      <c r="D187" s="144">
        <v>566</v>
      </c>
      <c r="E187" s="145">
        <v>683</v>
      </c>
      <c r="F187" s="145">
        <v>744</v>
      </c>
      <c r="G187" s="145">
        <v>622</v>
      </c>
      <c r="H187" s="145">
        <v>460</v>
      </c>
      <c r="I187" s="145">
        <v>448</v>
      </c>
      <c r="J187" s="145">
        <v>438</v>
      </c>
      <c r="K187" s="145">
        <v>519</v>
      </c>
      <c r="L187" s="142">
        <v>497</v>
      </c>
      <c r="M187" s="142">
        <v>458</v>
      </c>
      <c r="N187" s="63">
        <v>507</v>
      </c>
      <c r="O187" s="62">
        <v>311</v>
      </c>
      <c r="P187" s="45">
        <f t="shared" si="17"/>
        <v>6253</v>
      </c>
      <c r="Q187" s="54">
        <f t="shared" si="15"/>
        <v>6.2734955098306166E-3</v>
      </c>
      <c r="S187" s="130"/>
    </row>
    <row r="188" spans="1:19" ht="30.75" hidden="1" thickBot="1" x14ac:dyDescent="0.3">
      <c r="A188" s="40" t="s">
        <v>292</v>
      </c>
      <c r="B188" s="69" t="str">
        <f t="shared" si="14"/>
        <v>DEMORA DE LA AUTORIZACIÓN DE CIRUGÍA NO POS</v>
      </c>
      <c r="C188" s="140" t="s">
        <v>840</v>
      </c>
      <c r="D188" s="141">
        <v>401</v>
      </c>
      <c r="E188" s="142">
        <v>601</v>
      </c>
      <c r="F188" s="142">
        <v>709</v>
      </c>
      <c r="G188" s="142">
        <v>534</v>
      </c>
      <c r="H188" s="142">
        <v>410</v>
      </c>
      <c r="I188" s="142">
        <v>396</v>
      </c>
      <c r="J188" s="142">
        <v>371</v>
      </c>
      <c r="K188" s="142">
        <v>496</v>
      </c>
      <c r="L188" s="142">
        <v>602</v>
      </c>
      <c r="M188" s="142">
        <v>563</v>
      </c>
      <c r="N188" s="83">
        <v>558</v>
      </c>
      <c r="O188" s="84">
        <v>296</v>
      </c>
      <c r="P188" s="45">
        <f t="shared" si="17"/>
        <v>5937</v>
      </c>
      <c r="Q188" s="54">
        <f t="shared" si="15"/>
        <v>5.9564597540163718E-3</v>
      </c>
      <c r="S188" s="130"/>
    </row>
    <row r="189" spans="1:19" ht="30.75" hidden="1" thickBot="1" x14ac:dyDescent="0.3">
      <c r="A189" s="40" t="s">
        <v>306</v>
      </c>
      <c r="B189" s="69" t="str">
        <f t="shared" si="14"/>
        <v>DEMORA DE LA AUTORIZACIÓN DE INSUMOS POS</v>
      </c>
      <c r="C189" s="140" t="s">
        <v>841</v>
      </c>
      <c r="D189" s="141">
        <v>360</v>
      </c>
      <c r="E189" s="142">
        <v>421</v>
      </c>
      <c r="F189" s="142">
        <v>461</v>
      </c>
      <c r="G189" s="142">
        <v>414</v>
      </c>
      <c r="H189" s="142">
        <v>453</v>
      </c>
      <c r="I189" s="142">
        <v>603</v>
      </c>
      <c r="J189" s="142">
        <v>630</v>
      </c>
      <c r="K189" s="142">
        <v>543</v>
      </c>
      <c r="L189" s="142">
        <v>507</v>
      </c>
      <c r="M189" s="142">
        <v>409</v>
      </c>
      <c r="N189" s="83">
        <v>496</v>
      </c>
      <c r="O189" s="84">
        <v>394</v>
      </c>
      <c r="P189" s="45">
        <f t="shared" si="17"/>
        <v>5691</v>
      </c>
      <c r="Q189" s="54">
        <f t="shared" si="15"/>
        <v>5.7096534377812317E-3</v>
      </c>
      <c r="S189" s="130"/>
    </row>
    <row r="190" spans="1:19" ht="45.75" hidden="1" thickBot="1" x14ac:dyDescent="0.3">
      <c r="A190" s="40" t="s">
        <v>312</v>
      </c>
      <c r="B190" s="69" t="str">
        <f t="shared" si="14"/>
        <v>FALTA DE OPORTUNIDAD EN LA ASIGNACIÓN DE CITAS DE CONSULTA MÉDICA ESPECIALIZADA PEDIATRÍA</v>
      </c>
      <c r="C190" s="140" t="s">
        <v>842</v>
      </c>
      <c r="D190" s="141">
        <v>298</v>
      </c>
      <c r="E190" s="142">
        <v>381</v>
      </c>
      <c r="F190" s="142">
        <v>427</v>
      </c>
      <c r="G190" s="142">
        <v>381</v>
      </c>
      <c r="H190" s="142">
        <v>328</v>
      </c>
      <c r="I190" s="142">
        <v>350</v>
      </c>
      <c r="J190" s="142">
        <v>495</v>
      </c>
      <c r="K190" s="142">
        <v>533</v>
      </c>
      <c r="L190" s="142">
        <v>602</v>
      </c>
      <c r="M190" s="142">
        <v>530</v>
      </c>
      <c r="N190" s="83">
        <v>508</v>
      </c>
      <c r="O190" s="84">
        <v>394</v>
      </c>
      <c r="P190" s="45">
        <f t="shared" si="17"/>
        <v>5227</v>
      </c>
      <c r="Q190" s="54">
        <f t="shared" si="15"/>
        <v>5.2441325811425927E-3</v>
      </c>
      <c r="S190" s="130"/>
    </row>
    <row r="191" spans="1:19" ht="15.75" hidden="1" thickBot="1" x14ac:dyDescent="0.3">
      <c r="A191" s="40" t="s">
        <v>294</v>
      </c>
      <c r="B191" s="69" t="str">
        <f t="shared" si="14"/>
        <v>CÁNCER</v>
      </c>
      <c r="C191" s="143" t="s">
        <v>843</v>
      </c>
      <c r="D191" s="144">
        <v>646</v>
      </c>
      <c r="E191" s="145">
        <v>685</v>
      </c>
      <c r="F191" s="145">
        <v>729</v>
      </c>
      <c r="G191" s="145">
        <v>631</v>
      </c>
      <c r="H191" s="145">
        <v>605</v>
      </c>
      <c r="I191" s="145">
        <v>413</v>
      </c>
      <c r="J191" s="145">
        <v>274</v>
      </c>
      <c r="K191" s="145">
        <v>325</v>
      </c>
      <c r="L191" s="142">
        <v>209</v>
      </c>
      <c r="M191" s="142">
        <v>75</v>
      </c>
      <c r="N191" s="63">
        <v>75</v>
      </c>
      <c r="O191" s="62">
        <v>47</v>
      </c>
      <c r="P191" s="45">
        <f t="shared" si="17"/>
        <v>4714</v>
      </c>
      <c r="Q191" s="54">
        <f t="shared" si="15"/>
        <v>4.7294511167985812E-3</v>
      </c>
      <c r="S191" s="130"/>
    </row>
    <row r="192" spans="1:19" ht="30.75" hidden="1" thickBot="1" x14ac:dyDescent="0.3">
      <c r="A192" s="40" t="s">
        <v>302</v>
      </c>
      <c r="B192" s="69" t="str">
        <f t="shared" si="14"/>
        <v>DEMORA DE LA AUTORIZACIÓN DE HOSPITALIZACIONES</v>
      </c>
      <c r="C192" s="140" t="s">
        <v>844</v>
      </c>
      <c r="D192" s="141">
        <v>599</v>
      </c>
      <c r="E192" s="142">
        <v>365</v>
      </c>
      <c r="F192" s="142">
        <v>320</v>
      </c>
      <c r="G192" s="142">
        <v>319</v>
      </c>
      <c r="H192" s="142">
        <v>356</v>
      </c>
      <c r="I192" s="142">
        <v>436</v>
      </c>
      <c r="J192" s="142">
        <v>399</v>
      </c>
      <c r="K192" s="142">
        <v>328</v>
      </c>
      <c r="L192" s="142">
        <v>330</v>
      </c>
      <c r="M192" s="142">
        <v>429</v>
      </c>
      <c r="N192" s="83">
        <v>387</v>
      </c>
      <c r="O192" s="84">
        <v>239</v>
      </c>
      <c r="P192" s="45">
        <f t="shared" si="17"/>
        <v>4507</v>
      </c>
      <c r="Q192" s="54">
        <f t="shared" si="15"/>
        <v>4.5217726311860846E-3</v>
      </c>
      <c r="S192" s="130"/>
    </row>
    <row r="193" spans="1:19" ht="60.75" hidden="1" thickBot="1" x14ac:dyDescent="0.3">
      <c r="A193" s="40" t="s">
        <v>319</v>
      </c>
      <c r="B193" s="69" t="str">
        <f t="shared" si="14"/>
        <v>DEMORA DE LA AUTORIZACIÓN DE ELEMENTOS PARA TERAPIAS FÍSICAS, OCUPACIONALES, RESPIRATORIAS Y DEL LENGUAJE</v>
      </c>
      <c r="C193" s="140" t="s">
        <v>845</v>
      </c>
      <c r="D193" s="141">
        <v>357</v>
      </c>
      <c r="E193" s="142">
        <v>422</v>
      </c>
      <c r="F193" s="142">
        <v>423</v>
      </c>
      <c r="G193" s="142">
        <v>385</v>
      </c>
      <c r="H193" s="142">
        <v>313</v>
      </c>
      <c r="I193" s="142">
        <v>253</v>
      </c>
      <c r="J193" s="142">
        <v>327</v>
      </c>
      <c r="K193" s="142">
        <v>350</v>
      </c>
      <c r="L193" s="142">
        <v>430</v>
      </c>
      <c r="M193" s="142">
        <v>376</v>
      </c>
      <c r="N193" s="83">
        <v>350</v>
      </c>
      <c r="O193" s="84">
        <v>261</v>
      </c>
      <c r="P193" s="45">
        <f t="shared" si="17"/>
        <v>4247</v>
      </c>
      <c r="Q193" s="54">
        <f t="shared" si="15"/>
        <v>4.2609204270351239E-3</v>
      </c>
      <c r="S193" s="130"/>
    </row>
    <row r="194" spans="1:19" ht="30.75" hidden="1" thickBot="1" x14ac:dyDescent="0.3">
      <c r="A194" s="40" t="s">
        <v>348</v>
      </c>
      <c r="B194" s="69" t="str">
        <f t="shared" si="14"/>
        <v>DEMORA DE LA AUTORIZACIÓN DE CONSULTA MÉDICA GENERAL</v>
      </c>
      <c r="C194" s="140" t="s">
        <v>846</v>
      </c>
      <c r="D194" s="141">
        <v>846</v>
      </c>
      <c r="E194" s="142">
        <v>409</v>
      </c>
      <c r="F194" s="142">
        <v>439</v>
      </c>
      <c r="G194" s="142">
        <v>551</v>
      </c>
      <c r="H194" s="142">
        <v>500</v>
      </c>
      <c r="I194" s="142">
        <v>352</v>
      </c>
      <c r="J194" s="142">
        <v>295</v>
      </c>
      <c r="K194" s="142">
        <v>235</v>
      </c>
      <c r="L194" s="142">
        <v>152</v>
      </c>
      <c r="M194" s="142">
        <v>92</v>
      </c>
      <c r="N194" s="83">
        <v>86</v>
      </c>
      <c r="O194" s="84">
        <v>43</v>
      </c>
      <c r="P194" s="45">
        <f t="shared" si="17"/>
        <v>4000</v>
      </c>
      <c r="Q194" s="54">
        <f t="shared" si="15"/>
        <v>4.0131108330917105E-3</v>
      </c>
      <c r="S194" s="130"/>
    </row>
    <row r="195" spans="1:19" ht="60.75" hidden="1" thickBot="1" x14ac:dyDescent="0.3">
      <c r="A195" s="40" t="s">
        <v>315</v>
      </c>
      <c r="B195" s="69" t="str">
        <f t="shared" si="14"/>
        <v>FALTA DE OPORTUNIDAD EN LA ASIGNACIÓN DE CITAS DE CONSULTA MÉDICA ESPECIALIZADA DE GASTROENTEROLOGÍA</v>
      </c>
      <c r="C195" s="143" t="s">
        <v>847</v>
      </c>
      <c r="D195" s="144">
        <v>177</v>
      </c>
      <c r="E195" s="145">
        <v>215</v>
      </c>
      <c r="F195" s="145">
        <v>284</v>
      </c>
      <c r="G195" s="145">
        <v>257</v>
      </c>
      <c r="H195" s="145">
        <v>240</v>
      </c>
      <c r="I195" s="145">
        <v>237</v>
      </c>
      <c r="J195" s="145">
        <v>339</v>
      </c>
      <c r="K195" s="145">
        <v>398</v>
      </c>
      <c r="L195" s="142">
        <v>490</v>
      </c>
      <c r="M195" s="142">
        <v>444</v>
      </c>
      <c r="N195" s="63">
        <v>520</v>
      </c>
      <c r="O195" s="62">
        <v>391</v>
      </c>
      <c r="P195" s="45">
        <f t="shared" si="17"/>
        <v>3992</v>
      </c>
      <c r="Q195" s="54">
        <f t="shared" si="15"/>
        <v>4.0050846114255273E-3</v>
      </c>
      <c r="S195" s="130"/>
    </row>
    <row r="196" spans="1:19" ht="45.75" hidden="1" thickBot="1" x14ac:dyDescent="0.3">
      <c r="A196" s="40" t="s">
        <v>334</v>
      </c>
      <c r="B196" s="69" t="str">
        <f t="shared" si="14"/>
        <v>NEGACIÓN DE LA AUTORIZACIÓN PARA TRASPORTE DE AMBULANCIA AMBULATORIA</v>
      </c>
      <c r="C196" s="140" t="s">
        <v>848</v>
      </c>
      <c r="D196" s="141">
        <v>176</v>
      </c>
      <c r="E196" s="142">
        <v>245</v>
      </c>
      <c r="F196" s="142">
        <v>287</v>
      </c>
      <c r="G196" s="142">
        <v>240</v>
      </c>
      <c r="H196" s="142">
        <v>248</v>
      </c>
      <c r="I196" s="142">
        <v>255</v>
      </c>
      <c r="J196" s="142">
        <v>349</v>
      </c>
      <c r="K196" s="142">
        <v>342</v>
      </c>
      <c r="L196" s="142">
        <v>400</v>
      </c>
      <c r="M196" s="142">
        <v>336</v>
      </c>
      <c r="N196" s="83">
        <v>402</v>
      </c>
      <c r="O196" s="84">
        <v>324</v>
      </c>
      <c r="P196" s="45">
        <f t="shared" si="17"/>
        <v>3604</v>
      </c>
      <c r="Q196" s="54">
        <f t="shared" si="15"/>
        <v>3.6158128606156312E-3</v>
      </c>
      <c r="S196" s="130"/>
    </row>
    <row r="197" spans="1:19" ht="30.75" hidden="1" thickBot="1" x14ac:dyDescent="0.3">
      <c r="A197" s="40" t="s">
        <v>314</v>
      </c>
      <c r="B197" s="69" t="str">
        <f t="shared" si="14"/>
        <v>DEMORA DE LA AUTORIZACIÓN DE PROCEDIMIENTOS NO-POS</v>
      </c>
      <c r="C197" s="140" t="s">
        <v>849</v>
      </c>
      <c r="D197" s="141">
        <v>311</v>
      </c>
      <c r="E197" s="142">
        <v>293</v>
      </c>
      <c r="F197" s="142">
        <v>351</v>
      </c>
      <c r="G197" s="142">
        <v>318</v>
      </c>
      <c r="H197" s="142">
        <v>271</v>
      </c>
      <c r="I197" s="142">
        <v>274</v>
      </c>
      <c r="J197" s="142">
        <v>242</v>
      </c>
      <c r="K197" s="142">
        <v>262</v>
      </c>
      <c r="L197" s="142">
        <v>271</v>
      </c>
      <c r="M197" s="142">
        <v>288</v>
      </c>
      <c r="N197" s="83">
        <v>327</v>
      </c>
      <c r="O197" s="84">
        <v>168</v>
      </c>
      <c r="P197" s="45">
        <f t="shared" si="17"/>
        <v>3376</v>
      </c>
      <c r="Q197" s="54">
        <f t="shared" si="15"/>
        <v>3.3870655431294037E-3</v>
      </c>
      <c r="S197" s="130"/>
    </row>
    <row r="198" spans="1:19" ht="45.75" hidden="1" thickBot="1" x14ac:dyDescent="0.3">
      <c r="A198" s="40" t="s">
        <v>308</v>
      </c>
      <c r="B198" s="69" t="str">
        <f t="shared" si="14"/>
        <v>FALTA DE OPORTUNIDAD EN LA ATENCIÓN EN EL SERVICIO DE URGENCIAS</v>
      </c>
      <c r="C198" s="140" t="s">
        <v>850</v>
      </c>
      <c r="D198" s="141">
        <v>135</v>
      </c>
      <c r="E198" s="142">
        <v>171</v>
      </c>
      <c r="F198" s="142">
        <v>256</v>
      </c>
      <c r="G198" s="142">
        <v>211</v>
      </c>
      <c r="H198" s="142">
        <v>232</v>
      </c>
      <c r="I198" s="142">
        <v>297</v>
      </c>
      <c r="J198" s="142">
        <v>320</v>
      </c>
      <c r="K198" s="142">
        <v>352</v>
      </c>
      <c r="L198" s="142">
        <v>306</v>
      </c>
      <c r="M198" s="142">
        <v>258</v>
      </c>
      <c r="N198" s="83">
        <v>287</v>
      </c>
      <c r="O198" s="84">
        <v>357</v>
      </c>
      <c r="P198" s="45">
        <f t="shared" si="17"/>
        <v>3182</v>
      </c>
      <c r="Q198" s="54">
        <f t="shared" si="15"/>
        <v>3.1924296677244557E-3</v>
      </c>
      <c r="S198" s="130"/>
    </row>
    <row r="199" spans="1:19" ht="45.75" hidden="1" thickBot="1" x14ac:dyDescent="0.3">
      <c r="A199" s="40" t="s">
        <v>326</v>
      </c>
      <c r="B199" s="69" t="str">
        <f t="shared" si="14"/>
        <v>FALLAS O IRREGULARIDADES EN EL MANEJO TÉCNICO DE LA HISTORIA CLÍNICA Y/O REGISTROS ASISTENCIALES</v>
      </c>
      <c r="C199" s="140" t="s">
        <v>851</v>
      </c>
      <c r="D199" s="141">
        <v>316</v>
      </c>
      <c r="E199" s="142">
        <v>316</v>
      </c>
      <c r="F199" s="142">
        <v>323</v>
      </c>
      <c r="G199" s="142">
        <v>330</v>
      </c>
      <c r="H199" s="142">
        <v>267</v>
      </c>
      <c r="I199" s="142">
        <v>300</v>
      </c>
      <c r="J199" s="142">
        <v>317</v>
      </c>
      <c r="K199" s="142">
        <v>262</v>
      </c>
      <c r="L199" s="142">
        <v>235</v>
      </c>
      <c r="M199" s="142">
        <v>175</v>
      </c>
      <c r="N199" s="83">
        <v>183</v>
      </c>
      <c r="O199" s="84">
        <v>149</v>
      </c>
      <c r="P199" s="45">
        <f t="shared" si="17"/>
        <v>3173</v>
      </c>
      <c r="Q199" s="54">
        <f t="shared" si="15"/>
        <v>3.1834001683499996E-3</v>
      </c>
      <c r="S199" s="130"/>
    </row>
    <row r="200" spans="1:19" ht="45.75" hidden="1" thickBot="1" x14ac:dyDescent="0.3">
      <c r="A200" s="40" t="s">
        <v>290</v>
      </c>
      <c r="B200" s="69" t="str">
        <f t="shared" si="14"/>
        <v>DEMORA DE LA AUTORIZACIÓN DE SERVICIOS DE ALTO COSTO PARA:  CÁNCER</v>
      </c>
      <c r="C200" s="140" t="s">
        <v>852</v>
      </c>
      <c r="D200" s="141">
        <v>317</v>
      </c>
      <c r="E200" s="142">
        <v>398</v>
      </c>
      <c r="F200" s="142">
        <v>334</v>
      </c>
      <c r="G200" s="142">
        <v>277</v>
      </c>
      <c r="H200" s="142">
        <v>225</v>
      </c>
      <c r="I200" s="142">
        <v>277</v>
      </c>
      <c r="J200" s="142">
        <v>266</v>
      </c>
      <c r="K200" s="142">
        <v>328</v>
      </c>
      <c r="L200" s="142">
        <v>238</v>
      </c>
      <c r="M200" s="142">
        <v>82</v>
      </c>
      <c r="N200" s="83">
        <v>140</v>
      </c>
      <c r="O200" s="84">
        <v>96</v>
      </c>
      <c r="P200" s="45">
        <f t="shared" si="17"/>
        <v>2978</v>
      </c>
      <c r="Q200" s="54">
        <f t="shared" si="15"/>
        <v>2.9877610152367787E-3</v>
      </c>
      <c r="S200" s="130"/>
    </row>
    <row r="201" spans="1:19" ht="60.75" hidden="1" thickBot="1" x14ac:dyDescent="0.3">
      <c r="A201" s="40" t="s">
        <v>313</v>
      </c>
      <c r="B201" s="69" t="str">
        <f t="shared" si="14"/>
        <v>NO RECONOCIMIENTO Y PAGO DE LAS PRESTACIONES ECONÓMICAS DERIVADAS DE LICENCIA DE MATERNIDAD</v>
      </c>
      <c r="C201" s="140" t="s">
        <v>853</v>
      </c>
      <c r="D201" s="141">
        <v>215</v>
      </c>
      <c r="E201" s="142">
        <v>239</v>
      </c>
      <c r="F201" s="142">
        <v>235</v>
      </c>
      <c r="G201" s="142">
        <v>231</v>
      </c>
      <c r="H201" s="142">
        <v>243</v>
      </c>
      <c r="I201" s="142">
        <v>196</v>
      </c>
      <c r="J201" s="142">
        <v>238</v>
      </c>
      <c r="K201" s="142">
        <v>222</v>
      </c>
      <c r="L201" s="142">
        <v>257</v>
      </c>
      <c r="M201" s="142">
        <v>250</v>
      </c>
      <c r="N201" s="83">
        <v>277</v>
      </c>
      <c r="O201" s="84">
        <v>235</v>
      </c>
      <c r="P201" s="45">
        <f t="shared" si="17"/>
        <v>2838</v>
      </c>
      <c r="Q201" s="54">
        <f t="shared" si="15"/>
        <v>2.8473021360785689E-3</v>
      </c>
      <c r="S201" s="130"/>
    </row>
    <row r="202" spans="1:19" ht="15.75" hidden="1" thickBot="1" x14ac:dyDescent="0.3">
      <c r="A202" s="40" t="s">
        <v>324</v>
      </c>
      <c r="B202" s="69" t="str">
        <f t="shared" si="14"/>
        <v>DESAFILIACIÓN</v>
      </c>
      <c r="C202" s="140" t="s">
        <v>854</v>
      </c>
      <c r="D202" s="141">
        <v>252</v>
      </c>
      <c r="E202" s="142">
        <v>285</v>
      </c>
      <c r="F202" s="142">
        <v>278</v>
      </c>
      <c r="G202" s="142">
        <v>278</v>
      </c>
      <c r="H202" s="142">
        <v>257</v>
      </c>
      <c r="I202" s="142">
        <v>203</v>
      </c>
      <c r="J202" s="142">
        <v>215</v>
      </c>
      <c r="K202" s="142">
        <v>224</v>
      </c>
      <c r="L202" s="142">
        <v>191</v>
      </c>
      <c r="M202" s="142">
        <v>170</v>
      </c>
      <c r="N202" s="83">
        <v>161</v>
      </c>
      <c r="O202" s="84">
        <v>122</v>
      </c>
      <c r="P202" s="45">
        <f t="shared" si="17"/>
        <v>2636</v>
      </c>
      <c r="Q202" s="54">
        <f t="shared" si="15"/>
        <v>2.6446400390074372E-3</v>
      </c>
      <c r="S202" s="130"/>
    </row>
    <row r="203" spans="1:19" ht="15.75" hidden="1" thickBot="1" x14ac:dyDescent="0.3">
      <c r="A203" s="40" t="s">
        <v>316</v>
      </c>
      <c r="B203" s="69" t="str">
        <f t="shared" si="14"/>
        <v>TRASLADO DE MUNICIPIO</v>
      </c>
      <c r="C203" s="140" t="s">
        <v>317</v>
      </c>
      <c r="D203" s="141">
        <v>176</v>
      </c>
      <c r="E203" s="142">
        <v>241</v>
      </c>
      <c r="F203" s="142">
        <v>257</v>
      </c>
      <c r="G203" s="142">
        <v>223</v>
      </c>
      <c r="H203" s="142">
        <v>196</v>
      </c>
      <c r="I203" s="142">
        <v>221</v>
      </c>
      <c r="J203" s="142">
        <v>239</v>
      </c>
      <c r="K203" s="142">
        <v>240</v>
      </c>
      <c r="L203" s="142">
        <v>228</v>
      </c>
      <c r="M203" s="142">
        <v>208</v>
      </c>
      <c r="N203" s="83">
        <v>194</v>
      </c>
      <c r="O203" s="84">
        <v>152</v>
      </c>
      <c r="P203" s="45">
        <f t="shared" si="17"/>
        <v>2575</v>
      </c>
      <c r="Q203" s="54">
        <f t="shared" si="15"/>
        <v>2.5834400988027886E-3</v>
      </c>
      <c r="S203" s="130"/>
    </row>
    <row r="204" spans="1:19" ht="45.75" hidden="1" thickBot="1" x14ac:dyDescent="0.3">
      <c r="A204" s="40" t="s">
        <v>341</v>
      </c>
      <c r="B204" s="69" t="str">
        <f t="shared" si="14"/>
        <v>FALTA DE OPORTUNIDAD PARA LA PRESTACIÓN DE SERVICIOS DE IMAGENOLOGÍA DE PRIMER NIVEL</v>
      </c>
      <c r="C204" s="140" t="s">
        <v>855</v>
      </c>
      <c r="D204" s="141">
        <v>79</v>
      </c>
      <c r="E204" s="142">
        <v>117</v>
      </c>
      <c r="F204" s="142">
        <v>149</v>
      </c>
      <c r="G204" s="142">
        <v>158</v>
      </c>
      <c r="H204" s="142">
        <v>164</v>
      </c>
      <c r="I204" s="142">
        <v>141</v>
      </c>
      <c r="J204" s="142">
        <v>205</v>
      </c>
      <c r="K204" s="142">
        <v>290</v>
      </c>
      <c r="L204" s="142">
        <v>348</v>
      </c>
      <c r="M204" s="142">
        <v>323</v>
      </c>
      <c r="N204" s="83">
        <v>314</v>
      </c>
      <c r="O204" s="84">
        <v>264</v>
      </c>
      <c r="P204" s="45">
        <f t="shared" si="17"/>
        <v>2552</v>
      </c>
      <c r="Q204" s="54">
        <f t="shared" si="15"/>
        <v>2.5603647115125115E-3</v>
      </c>
      <c r="S204" s="130"/>
    </row>
    <row r="205" spans="1:19" ht="60.75" hidden="1" thickBot="1" x14ac:dyDescent="0.3">
      <c r="A205" s="40" t="s">
        <v>333</v>
      </c>
      <c r="B205" s="69" t="str">
        <f t="shared" si="14"/>
        <v>TRÁMITES ADMINISTRATIVOS PARA LA AFILIACIÓN QUE SON RESPONSABILIDAD DE LA EPS, TRASLADADOS AL USUARIO</v>
      </c>
      <c r="C205" s="140" t="s">
        <v>856</v>
      </c>
      <c r="D205" s="141">
        <v>155</v>
      </c>
      <c r="E205" s="142">
        <v>201</v>
      </c>
      <c r="F205" s="142">
        <v>218</v>
      </c>
      <c r="G205" s="142">
        <v>235</v>
      </c>
      <c r="H205" s="142">
        <v>221</v>
      </c>
      <c r="I205" s="142">
        <v>169</v>
      </c>
      <c r="J205" s="142">
        <v>194</v>
      </c>
      <c r="K205" s="142">
        <v>244</v>
      </c>
      <c r="L205" s="142">
        <v>245</v>
      </c>
      <c r="M205" s="142">
        <v>228</v>
      </c>
      <c r="N205" s="83">
        <v>212</v>
      </c>
      <c r="O205" s="84">
        <v>165</v>
      </c>
      <c r="P205" s="45">
        <f t="shared" si="17"/>
        <v>2487</v>
      </c>
      <c r="Q205" s="54">
        <f t="shared" si="15"/>
        <v>2.4951516604747709E-3</v>
      </c>
      <c r="S205" s="130"/>
    </row>
    <row r="206" spans="1:19" ht="45.75" hidden="1" thickBot="1" x14ac:dyDescent="0.3">
      <c r="A206" s="40" t="s">
        <v>344</v>
      </c>
      <c r="B206" s="69" t="str">
        <f t="shared" si="14"/>
        <v>FALTA DE OPORTUNIDAD EN LA PRESTACIÓN DE SERVICIOS DE PROMOCIÓN Y PREVENCIÓN</v>
      </c>
      <c r="C206" s="140" t="s">
        <v>857</v>
      </c>
      <c r="D206" s="141">
        <v>122</v>
      </c>
      <c r="E206" s="142">
        <v>150</v>
      </c>
      <c r="F206" s="142">
        <v>197</v>
      </c>
      <c r="G206" s="142">
        <v>300</v>
      </c>
      <c r="H206" s="142">
        <v>144</v>
      </c>
      <c r="I206" s="142">
        <v>186</v>
      </c>
      <c r="J206" s="142">
        <v>205</v>
      </c>
      <c r="K206" s="142">
        <v>213</v>
      </c>
      <c r="L206" s="142">
        <v>160</v>
      </c>
      <c r="M206" s="142">
        <v>160</v>
      </c>
      <c r="N206" s="83">
        <v>161</v>
      </c>
      <c r="O206" s="84">
        <v>277</v>
      </c>
      <c r="P206" s="45">
        <f t="shared" si="17"/>
        <v>2275</v>
      </c>
      <c r="Q206" s="54">
        <f t="shared" si="15"/>
        <v>2.2824567863209103E-3</v>
      </c>
      <c r="S206" s="130"/>
    </row>
    <row r="207" spans="1:19" ht="30.75" hidden="1" thickBot="1" x14ac:dyDescent="0.3">
      <c r="A207" s="40" t="s">
        <v>309</v>
      </c>
      <c r="B207" s="69" t="str">
        <f t="shared" si="14"/>
        <v>PRESUNTAS FALLAS EN LA ÉTICA MÉDICA</v>
      </c>
      <c r="C207" s="140" t="s">
        <v>858</v>
      </c>
      <c r="D207" s="141">
        <v>194</v>
      </c>
      <c r="E207" s="142">
        <v>200</v>
      </c>
      <c r="F207" s="142">
        <v>203</v>
      </c>
      <c r="G207" s="142">
        <v>205</v>
      </c>
      <c r="H207" s="142">
        <v>135</v>
      </c>
      <c r="I207" s="142">
        <v>134</v>
      </c>
      <c r="J207" s="142">
        <v>217</v>
      </c>
      <c r="K207" s="142">
        <v>217</v>
      </c>
      <c r="L207" s="142">
        <v>239</v>
      </c>
      <c r="M207" s="142">
        <v>196</v>
      </c>
      <c r="N207" s="83">
        <v>134</v>
      </c>
      <c r="O207" s="84">
        <v>120</v>
      </c>
      <c r="P207" s="45">
        <f t="shared" si="17"/>
        <v>2194</v>
      </c>
      <c r="Q207" s="54">
        <f t="shared" si="15"/>
        <v>2.2011912919508033E-3</v>
      </c>
      <c r="S207" s="130"/>
    </row>
    <row r="208" spans="1:19" ht="45.75" hidden="1" thickBot="1" x14ac:dyDescent="0.3">
      <c r="A208" s="40" t="s">
        <v>322</v>
      </c>
      <c r="B208" s="69" t="str">
        <f t="shared" si="14"/>
        <v>FALTA DE OPORTUNIDAD POR FRACCIONAMIENTO O ENTREGA INCOMPLETA DE LOS MEDICAMENTOS</v>
      </c>
      <c r="C208" s="140" t="s">
        <v>323</v>
      </c>
      <c r="D208" s="141">
        <v>168</v>
      </c>
      <c r="E208" s="142">
        <v>156</v>
      </c>
      <c r="F208" s="142">
        <v>193</v>
      </c>
      <c r="G208" s="142">
        <v>219</v>
      </c>
      <c r="H208" s="142">
        <v>172</v>
      </c>
      <c r="I208" s="142">
        <v>183</v>
      </c>
      <c r="J208" s="142">
        <v>177</v>
      </c>
      <c r="K208" s="142">
        <v>137</v>
      </c>
      <c r="L208" s="142">
        <v>138</v>
      </c>
      <c r="M208" s="142">
        <v>160</v>
      </c>
      <c r="N208" s="83">
        <v>119</v>
      </c>
      <c r="O208" s="84">
        <v>322</v>
      </c>
      <c r="P208" s="45">
        <f t="shared" si="17"/>
        <v>2144</v>
      </c>
      <c r="Q208" s="54">
        <f t="shared" si="15"/>
        <v>2.151027406537157E-3</v>
      </c>
      <c r="S208" s="130"/>
    </row>
    <row r="209" spans="1:19" ht="30.75" hidden="1" thickBot="1" x14ac:dyDescent="0.3">
      <c r="A209" s="40" t="s">
        <v>329</v>
      </c>
      <c r="B209" s="69" t="str">
        <f t="shared" si="14"/>
        <v>INCONSISTENCIA EN EL COBRO DEL COPAGO</v>
      </c>
      <c r="C209" s="140" t="s">
        <v>330</v>
      </c>
      <c r="D209" s="141">
        <v>164</v>
      </c>
      <c r="E209" s="142">
        <v>210</v>
      </c>
      <c r="F209" s="142">
        <v>192</v>
      </c>
      <c r="G209" s="142">
        <v>171</v>
      </c>
      <c r="H209" s="142">
        <v>188</v>
      </c>
      <c r="I209" s="142">
        <v>153</v>
      </c>
      <c r="J209" s="142">
        <v>195</v>
      </c>
      <c r="K209" s="142">
        <v>206</v>
      </c>
      <c r="L209" s="142">
        <v>198</v>
      </c>
      <c r="M209" s="142">
        <v>138</v>
      </c>
      <c r="N209" s="83">
        <v>168</v>
      </c>
      <c r="O209" s="84">
        <v>149</v>
      </c>
      <c r="P209" s="45">
        <f t="shared" si="17"/>
        <v>2132</v>
      </c>
      <c r="Q209" s="54">
        <f t="shared" si="15"/>
        <v>2.1389880740378818E-3</v>
      </c>
      <c r="S209" s="130"/>
    </row>
    <row r="210" spans="1:19" ht="45.75" hidden="1" thickBot="1" x14ac:dyDescent="0.3">
      <c r="A210" s="40" t="s">
        <v>298</v>
      </c>
      <c r="B210" s="69" t="str">
        <f t="shared" si="14"/>
        <v>CONTRATOS VENCIDOS CON IPS QUE AFECTAN LA CONTINUIDAD DEL SERVICIO</v>
      </c>
      <c r="C210" s="140" t="s">
        <v>299</v>
      </c>
      <c r="D210" s="141">
        <v>140</v>
      </c>
      <c r="E210" s="142">
        <v>185</v>
      </c>
      <c r="F210" s="142">
        <v>179</v>
      </c>
      <c r="G210" s="142">
        <v>156</v>
      </c>
      <c r="H210" s="142">
        <v>188</v>
      </c>
      <c r="I210" s="142">
        <v>200</v>
      </c>
      <c r="J210" s="142">
        <v>187</v>
      </c>
      <c r="K210" s="142">
        <v>200</v>
      </c>
      <c r="L210" s="142">
        <v>233</v>
      </c>
      <c r="M210" s="142">
        <v>128</v>
      </c>
      <c r="N210" s="83">
        <v>150</v>
      </c>
      <c r="O210" s="84">
        <v>112</v>
      </c>
      <c r="P210" s="45">
        <f t="shared" si="17"/>
        <v>2058</v>
      </c>
      <c r="Q210" s="54">
        <f t="shared" si="15"/>
        <v>2.0647455236256851E-3</v>
      </c>
      <c r="S210" s="130"/>
    </row>
    <row r="211" spans="1:19" ht="30.75" hidden="1" thickBot="1" x14ac:dyDescent="0.3">
      <c r="A211" s="40" t="s">
        <v>388</v>
      </c>
      <c r="B211" s="69" t="str">
        <f t="shared" si="14"/>
        <v>DIFICULTAD DE COMUNICACIÓN CON LAS LÍNEAS DE ATENCIÓN AL CLIENTE</v>
      </c>
      <c r="C211" s="140" t="s">
        <v>859</v>
      </c>
      <c r="D211" s="141">
        <v>183</v>
      </c>
      <c r="E211" s="142">
        <v>190</v>
      </c>
      <c r="F211" s="142">
        <v>328</v>
      </c>
      <c r="G211" s="142">
        <v>386</v>
      </c>
      <c r="H211" s="142">
        <v>243</v>
      </c>
      <c r="I211" s="142">
        <v>188</v>
      </c>
      <c r="J211" s="142">
        <v>136</v>
      </c>
      <c r="K211" s="142">
        <v>116</v>
      </c>
      <c r="L211" s="142">
        <v>84</v>
      </c>
      <c r="M211" s="142">
        <v>51</v>
      </c>
      <c r="N211" s="83">
        <v>48</v>
      </c>
      <c r="O211" s="84">
        <v>101</v>
      </c>
      <c r="P211" s="45">
        <f t="shared" si="17"/>
        <v>2054</v>
      </c>
      <c r="Q211" s="54">
        <f t="shared" si="15"/>
        <v>2.0607324127925935E-3</v>
      </c>
      <c r="S211" s="130"/>
    </row>
    <row r="212" spans="1:19" ht="60.75" hidden="1" thickBot="1" x14ac:dyDescent="0.3">
      <c r="A212" s="40" t="s">
        <v>321</v>
      </c>
      <c r="B212" s="69" t="str">
        <f t="shared" si="14"/>
        <v>FALTA DE OPORTUNIDAD EN LA EVALUACIÓN DE MEDICINA LABORAL DE LAS EPS, PARA DEFINIR ORIGEN DE LA ENFERMEDAD</v>
      </c>
      <c r="C212" s="140" t="s">
        <v>860</v>
      </c>
      <c r="D212" s="141">
        <v>141</v>
      </c>
      <c r="E212" s="142">
        <v>177</v>
      </c>
      <c r="F212" s="142">
        <v>189</v>
      </c>
      <c r="G212" s="142">
        <v>170</v>
      </c>
      <c r="H212" s="142">
        <v>141</v>
      </c>
      <c r="I212" s="142">
        <v>132</v>
      </c>
      <c r="J212" s="142">
        <v>160</v>
      </c>
      <c r="K212" s="142">
        <v>180</v>
      </c>
      <c r="L212" s="142">
        <v>154</v>
      </c>
      <c r="M212" s="142">
        <v>142</v>
      </c>
      <c r="N212" s="83">
        <v>129</v>
      </c>
      <c r="O212" s="84">
        <v>102</v>
      </c>
      <c r="P212" s="45">
        <f t="shared" si="17"/>
        <v>1817</v>
      </c>
      <c r="Q212" s="54">
        <f t="shared" si="15"/>
        <v>1.8229555959319095E-3</v>
      </c>
      <c r="S212" s="130"/>
    </row>
    <row r="213" spans="1:19" ht="30.75" hidden="1" thickBot="1" x14ac:dyDescent="0.3">
      <c r="A213" s="40" t="s">
        <v>349</v>
      </c>
      <c r="B213" s="69" t="str">
        <f t="shared" si="14"/>
        <v>NEGACIÓN DE LA AUTORIZACIÓN DE ATENCIONES DOMICILIARIAS</v>
      </c>
      <c r="C213" s="140" t="s">
        <v>861</v>
      </c>
      <c r="D213" s="141">
        <v>115</v>
      </c>
      <c r="E213" s="142">
        <v>90</v>
      </c>
      <c r="F213" s="142">
        <v>128</v>
      </c>
      <c r="G213" s="142">
        <v>136</v>
      </c>
      <c r="H213" s="142">
        <v>145</v>
      </c>
      <c r="I213" s="142">
        <v>110</v>
      </c>
      <c r="J213" s="142">
        <v>143</v>
      </c>
      <c r="K213" s="142">
        <v>206</v>
      </c>
      <c r="L213" s="142">
        <v>166</v>
      </c>
      <c r="M213" s="142">
        <v>131</v>
      </c>
      <c r="N213" s="83">
        <v>163</v>
      </c>
      <c r="O213" s="84">
        <v>149</v>
      </c>
      <c r="P213" s="45">
        <f t="shared" si="17"/>
        <v>1682</v>
      </c>
      <c r="Q213" s="54">
        <f t="shared" si="15"/>
        <v>1.6875131053150643E-3</v>
      </c>
      <c r="S213" s="130"/>
    </row>
    <row r="214" spans="1:19" ht="60.75" hidden="1" thickBot="1" x14ac:dyDescent="0.3">
      <c r="A214" s="40" t="s">
        <v>343</v>
      </c>
      <c r="B214" s="69" t="str">
        <f t="shared" si="14"/>
        <v>NO RECONOCIMIENTO DE LAS PRESTACIONES ECONÓMICAS DERIVADAS INCAPACIDAD DE ENFERMEDAD PROFESIONAL</v>
      </c>
      <c r="C214" s="140" t="s">
        <v>862</v>
      </c>
      <c r="D214" s="141">
        <v>138</v>
      </c>
      <c r="E214" s="142">
        <v>119</v>
      </c>
      <c r="F214" s="142">
        <v>126</v>
      </c>
      <c r="G214" s="142">
        <v>125</v>
      </c>
      <c r="H214" s="142">
        <v>133</v>
      </c>
      <c r="I214" s="142">
        <v>147</v>
      </c>
      <c r="J214" s="142">
        <v>204</v>
      </c>
      <c r="K214" s="142">
        <v>198</v>
      </c>
      <c r="L214" s="142">
        <v>151</v>
      </c>
      <c r="M214" s="142">
        <v>74</v>
      </c>
      <c r="N214" s="83">
        <v>118</v>
      </c>
      <c r="O214" s="84">
        <v>114</v>
      </c>
      <c r="P214" s="45">
        <f t="shared" si="17"/>
        <v>1647</v>
      </c>
      <c r="Q214" s="54">
        <f t="shared" si="15"/>
        <v>1.6523983855255119E-3</v>
      </c>
      <c r="S214" s="130"/>
    </row>
    <row r="215" spans="1:19" ht="30.75" hidden="1" thickBot="1" x14ac:dyDescent="0.3">
      <c r="A215" s="40" t="s">
        <v>336</v>
      </c>
      <c r="B215" s="69" t="str">
        <f t="shared" si="14"/>
        <v>NEGACIÓN PARA LA ENTREGA DE MEDICAMENTOS NO POS</v>
      </c>
      <c r="C215" s="140" t="s">
        <v>863</v>
      </c>
      <c r="D215" s="141">
        <v>77</v>
      </c>
      <c r="E215" s="142">
        <v>107</v>
      </c>
      <c r="F215" s="142">
        <v>120</v>
      </c>
      <c r="G215" s="142">
        <v>156</v>
      </c>
      <c r="H215" s="142">
        <v>107</v>
      </c>
      <c r="I215" s="142">
        <v>78</v>
      </c>
      <c r="J215" s="142">
        <v>126</v>
      </c>
      <c r="K215" s="142">
        <v>125</v>
      </c>
      <c r="L215" s="142">
        <v>139</v>
      </c>
      <c r="M215" s="142">
        <v>108</v>
      </c>
      <c r="N215" s="83">
        <v>102</v>
      </c>
      <c r="O215" s="84">
        <v>374</v>
      </c>
      <c r="P215" s="45">
        <f t="shared" si="17"/>
        <v>1619</v>
      </c>
      <c r="Q215" s="54">
        <f t="shared" si="15"/>
        <v>1.6243066096938699E-3</v>
      </c>
      <c r="S215" s="130"/>
    </row>
    <row r="216" spans="1:19" ht="30.75" hidden="1" thickBot="1" x14ac:dyDescent="0.3">
      <c r="A216" s="40" t="s">
        <v>304</v>
      </c>
      <c r="B216" s="69" t="str">
        <f t="shared" ref="B216:B279" si="18">+C216</f>
        <v>DEMORA DE LA AUTORIZACIÓN DE SERVICIOS DE URGENCIAS</v>
      </c>
      <c r="C216" s="140" t="s">
        <v>864</v>
      </c>
      <c r="D216" s="141">
        <v>164</v>
      </c>
      <c r="E216" s="142">
        <v>139</v>
      </c>
      <c r="F216" s="142">
        <v>157</v>
      </c>
      <c r="G216" s="142">
        <v>102</v>
      </c>
      <c r="H216" s="142">
        <v>117</v>
      </c>
      <c r="I216" s="142">
        <v>114</v>
      </c>
      <c r="J216" s="142">
        <v>121</v>
      </c>
      <c r="K216" s="142">
        <v>130</v>
      </c>
      <c r="L216" s="142">
        <v>149</v>
      </c>
      <c r="M216" s="142">
        <v>148</v>
      </c>
      <c r="N216" s="83">
        <v>121</v>
      </c>
      <c r="O216" s="84">
        <v>115</v>
      </c>
      <c r="P216" s="45">
        <f t="shared" ref="P216:P279" si="19">SUM(D216:O216)</f>
        <v>1577</v>
      </c>
      <c r="Q216" s="54">
        <f t="shared" ref="Q216:Q279" si="20">+P216/$P$445</f>
        <v>1.5821689459464068E-3</v>
      </c>
      <c r="S216" s="130"/>
    </row>
    <row r="217" spans="1:19" ht="15.75" hidden="1" thickBot="1" x14ac:dyDescent="0.3">
      <c r="A217" s="40" t="s">
        <v>339</v>
      </c>
      <c r="B217" s="69" t="str">
        <f t="shared" si="18"/>
        <v>TRATO INDIGNO O DESHUMANIZADO</v>
      </c>
      <c r="C217" s="140" t="s">
        <v>340</v>
      </c>
      <c r="D217" s="141">
        <v>117</v>
      </c>
      <c r="E217" s="142">
        <v>132</v>
      </c>
      <c r="F217" s="142">
        <v>173</v>
      </c>
      <c r="G217" s="142">
        <v>134</v>
      </c>
      <c r="H217" s="142">
        <v>153</v>
      </c>
      <c r="I217" s="142">
        <v>136</v>
      </c>
      <c r="J217" s="142">
        <v>135</v>
      </c>
      <c r="K217" s="142">
        <v>119</v>
      </c>
      <c r="L217" s="142">
        <v>102</v>
      </c>
      <c r="M217" s="142">
        <v>90</v>
      </c>
      <c r="N217" s="83">
        <v>122</v>
      </c>
      <c r="O217" s="84">
        <v>152</v>
      </c>
      <c r="P217" s="45">
        <f t="shared" si="19"/>
        <v>1565</v>
      </c>
      <c r="Q217" s="54">
        <f t="shared" si="20"/>
        <v>1.5701296134471318E-3</v>
      </c>
      <c r="S217" s="130"/>
    </row>
    <row r="218" spans="1:19" ht="60.75" hidden="1" thickBot="1" x14ac:dyDescent="0.3">
      <c r="A218" s="40" t="s">
        <v>372</v>
      </c>
      <c r="B218" s="69" t="str">
        <f t="shared" si="18"/>
        <v>NO RECONOCIMIENTO Y PAGO DE LAS PRESTACIONES ECONÓMICAS DERIVADAS INCAPACIDAD DE ENFERMEDAD PROFESIONAL</v>
      </c>
      <c r="C218" s="140" t="s">
        <v>865</v>
      </c>
      <c r="D218" s="141">
        <v>115</v>
      </c>
      <c r="E218" s="142">
        <v>178</v>
      </c>
      <c r="F218" s="142">
        <v>129</v>
      </c>
      <c r="G218" s="142">
        <v>113</v>
      </c>
      <c r="H218" s="142">
        <v>94</v>
      </c>
      <c r="I218" s="142">
        <v>110</v>
      </c>
      <c r="J218" s="142">
        <v>124</v>
      </c>
      <c r="K218" s="142">
        <v>195</v>
      </c>
      <c r="L218" s="142">
        <v>122</v>
      </c>
      <c r="M218" s="142">
        <v>84</v>
      </c>
      <c r="N218" s="83">
        <v>96</v>
      </c>
      <c r="O218" s="84">
        <v>119</v>
      </c>
      <c r="P218" s="45">
        <f t="shared" si="19"/>
        <v>1479</v>
      </c>
      <c r="Q218" s="54">
        <f t="shared" si="20"/>
        <v>1.4838477305356599E-3</v>
      </c>
      <c r="S218" s="130"/>
    </row>
    <row r="219" spans="1:19" ht="45.75" hidden="1" thickBot="1" x14ac:dyDescent="0.3">
      <c r="A219" s="40" t="s">
        <v>318</v>
      </c>
      <c r="B219" s="69" t="str">
        <f t="shared" si="18"/>
        <v>FALTA DE CONTRATACIÓN PARA LA ENTREGA OPORTUNA Y CONTINUA DE MEDICAMENTOS DE ALTO COSTO</v>
      </c>
      <c r="C219" s="140" t="s">
        <v>866</v>
      </c>
      <c r="D219" s="141">
        <v>132</v>
      </c>
      <c r="E219" s="142">
        <v>125</v>
      </c>
      <c r="F219" s="142">
        <v>137</v>
      </c>
      <c r="G219" s="142">
        <v>121</v>
      </c>
      <c r="H219" s="142">
        <v>93</v>
      </c>
      <c r="I219" s="142">
        <v>87</v>
      </c>
      <c r="J219" s="142">
        <v>123</v>
      </c>
      <c r="K219" s="142">
        <v>161</v>
      </c>
      <c r="L219" s="142">
        <v>153</v>
      </c>
      <c r="M219" s="142">
        <v>101</v>
      </c>
      <c r="N219" s="83">
        <v>161</v>
      </c>
      <c r="O219" s="84">
        <v>68</v>
      </c>
      <c r="P219" s="45">
        <f t="shared" si="19"/>
        <v>1462</v>
      </c>
      <c r="Q219" s="54">
        <f t="shared" si="20"/>
        <v>1.4667920094950202E-3</v>
      </c>
      <c r="S219" s="130"/>
    </row>
    <row r="220" spans="1:19" ht="45.75" hidden="1" thickBot="1" x14ac:dyDescent="0.3">
      <c r="A220" s="40" t="s">
        <v>753</v>
      </c>
      <c r="B220" s="69" t="str">
        <f t="shared" si="18"/>
        <v>FALTA DE OPORTUNIDAD EN EL AGENDAMIENTO Y/O APLICACIÓN DE VACUNA COVID19</v>
      </c>
      <c r="C220" s="140" t="s">
        <v>761</v>
      </c>
      <c r="D220" s="141"/>
      <c r="E220" s="142">
        <v>5</v>
      </c>
      <c r="F220" s="142">
        <v>47</v>
      </c>
      <c r="G220" s="142">
        <v>283</v>
      </c>
      <c r="H220" s="142">
        <v>466</v>
      </c>
      <c r="I220" s="142">
        <v>186</v>
      </c>
      <c r="J220" s="142">
        <v>140</v>
      </c>
      <c r="K220" s="142">
        <v>78</v>
      </c>
      <c r="L220" s="142">
        <v>65</v>
      </c>
      <c r="M220" s="142">
        <v>31</v>
      </c>
      <c r="N220" s="83">
        <v>36</v>
      </c>
      <c r="O220" s="84">
        <v>48</v>
      </c>
      <c r="P220" s="45">
        <f t="shared" si="19"/>
        <v>1385</v>
      </c>
      <c r="Q220" s="54">
        <f t="shared" si="20"/>
        <v>1.3895396259580048E-3</v>
      </c>
      <c r="S220" s="130"/>
    </row>
    <row r="221" spans="1:19" ht="30.75" hidden="1" thickBot="1" x14ac:dyDescent="0.3">
      <c r="A221" s="40" t="s">
        <v>371</v>
      </c>
      <c r="B221" s="69" t="str">
        <f t="shared" si="18"/>
        <v>FALTA DE OPORTUNIDAD EN LA HOSPITALIZACIÓN</v>
      </c>
      <c r="C221" s="140" t="s">
        <v>867</v>
      </c>
      <c r="D221" s="141">
        <v>56</v>
      </c>
      <c r="E221" s="142">
        <v>68</v>
      </c>
      <c r="F221" s="142">
        <v>115</v>
      </c>
      <c r="G221" s="142">
        <v>90</v>
      </c>
      <c r="H221" s="142">
        <v>95</v>
      </c>
      <c r="I221" s="142">
        <v>130</v>
      </c>
      <c r="J221" s="142">
        <v>113</v>
      </c>
      <c r="K221" s="142">
        <v>118</v>
      </c>
      <c r="L221" s="142">
        <v>147</v>
      </c>
      <c r="M221" s="142">
        <v>123</v>
      </c>
      <c r="N221" s="83">
        <v>133</v>
      </c>
      <c r="O221" s="84">
        <v>110</v>
      </c>
      <c r="P221" s="45">
        <f t="shared" si="19"/>
        <v>1298</v>
      </c>
      <c r="Q221" s="54">
        <f t="shared" si="20"/>
        <v>1.3022544653382602E-3</v>
      </c>
      <c r="S221" s="130"/>
    </row>
    <row r="222" spans="1:19" ht="45.75" hidden="1" thickBot="1" x14ac:dyDescent="0.3">
      <c r="A222" s="40" t="s">
        <v>327</v>
      </c>
      <c r="B222" s="69" t="str">
        <f t="shared" si="18"/>
        <v>SOLICITUD DEL USUARIO DE TRASLADO DE EPS POR FALLAS EN LA PRESTACIÓN DEL SERVICIO</v>
      </c>
      <c r="C222" s="140" t="s">
        <v>328</v>
      </c>
      <c r="D222" s="141">
        <v>49</v>
      </c>
      <c r="E222" s="142">
        <v>72</v>
      </c>
      <c r="F222" s="142">
        <v>82</v>
      </c>
      <c r="G222" s="142">
        <v>162</v>
      </c>
      <c r="H222" s="142">
        <v>146</v>
      </c>
      <c r="I222" s="142">
        <v>110</v>
      </c>
      <c r="J222" s="142">
        <v>102</v>
      </c>
      <c r="K222" s="142">
        <v>175</v>
      </c>
      <c r="L222" s="142">
        <v>84</v>
      </c>
      <c r="M222" s="142">
        <v>84</v>
      </c>
      <c r="N222" s="83">
        <v>103</v>
      </c>
      <c r="O222" s="84">
        <v>84</v>
      </c>
      <c r="P222" s="45">
        <f t="shared" si="19"/>
        <v>1253</v>
      </c>
      <c r="Q222" s="54">
        <f t="shared" si="20"/>
        <v>1.2571069684659784E-3</v>
      </c>
      <c r="S222" s="130"/>
    </row>
    <row r="223" spans="1:19" ht="30.75" hidden="1" thickBot="1" x14ac:dyDescent="0.3">
      <c r="A223" s="40" t="s">
        <v>331</v>
      </c>
      <c r="B223" s="69" t="str">
        <f t="shared" si="18"/>
        <v>NO ACTIVO EN BASE DE DATOS DE LA EPS</v>
      </c>
      <c r="C223" s="140" t="s">
        <v>332</v>
      </c>
      <c r="D223" s="141">
        <v>167</v>
      </c>
      <c r="E223" s="142">
        <v>155</v>
      </c>
      <c r="F223" s="142">
        <v>143</v>
      </c>
      <c r="G223" s="142">
        <v>124</v>
      </c>
      <c r="H223" s="142">
        <v>86</v>
      </c>
      <c r="I223" s="142">
        <v>86</v>
      </c>
      <c r="J223" s="142">
        <v>87</v>
      </c>
      <c r="K223" s="142">
        <v>87</v>
      </c>
      <c r="L223" s="142">
        <v>93</v>
      </c>
      <c r="M223" s="142">
        <v>61</v>
      </c>
      <c r="N223" s="83">
        <v>76</v>
      </c>
      <c r="O223" s="84">
        <v>60</v>
      </c>
      <c r="P223" s="45">
        <f t="shared" si="19"/>
        <v>1225</v>
      </c>
      <c r="Q223" s="54">
        <f t="shared" si="20"/>
        <v>1.2290151926343364E-3</v>
      </c>
      <c r="S223" s="130"/>
    </row>
    <row r="224" spans="1:19" ht="45.75" hidden="1" thickBot="1" x14ac:dyDescent="0.3">
      <c r="A224" s="40" t="s">
        <v>338</v>
      </c>
      <c r="B224" s="69" t="str">
        <f t="shared" si="18"/>
        <v>DEMORA EN EL RECONOCIMIENTO DE REEMBOLSOS (PROCEDIMIENTOS U HOSPITALIZACIÓN)</v>
      </c>
      <c r="C224" s="140" t="s">
        <v>868</v>
      </c>
      <c r="D224" s="141">
        <v>88</v>
      </c>
      <c r="E224" s="142">
        <v>118</v>
      </c>
      <c r="F224" s="142">
        <v>95</v>
      </c>
      <c r="G224" s="142">
        <v>104</v>
      </c>
      <c r="H224" s="142">
        <v>79</v>
      </c>
      <c r="I224" s="142">
        <v>104</v>
      </c>
      <c r="J224" s="142">
        <v>128</v>
      </c>
      <c r="K224" s="142">
        <v>117</v>
      </c>
      <c r="L224" s="142">
        <v>107</v>
      </c>
      <c r="M224" s="142">
        <v>89</v>
      </c>
      <c r="N224" s="83">
        <v>119</v>
      </c>
      <c r="O224" s="84">
        <v>71</v>
      </c>
      <c r="P224" s="45">
        <f t="shared" si="19"/>
        <v>1219</v>
      </c>
      <c r="Q224" s="54">
        <f t="shared" si="20"/>
        <v>1.2229955263846988E-3</v>
      </c>
      <c r="S224" s="130"/>
    </row>
    <row r="225" spans="1:19" ht="30.75" hidden="1" thickBot="1" x14ac:dyDescent="0.3">
      <c r="A225" s="40" t="s">
        <v>357</v>
      </c>
      <c r="B225" s="69" t="str">
        <f t="shared" si="18"/>
        <v>INCONSISTENCIA EN EL COBRO DE LA CUOTA MODERADORA</v>
      </c>
      <c r="C225" s="140" t="s">
        <v>358</v>
      </c>
      <c r="D225" s="141">
        <v>99</v>
      </c>
      <c r="E225" s="142">
        <v>91</v>
      </c>
      <c r="F225" s="142">
        <v>115</v>
      </c>
      <c r="G225" s="142">
        <v>98</v>
      </c>
      <c r="H225" s="142">
        <v>69</v>
      </c>
      <c r="I225" s="142">
        <v>78</v>
      </c>
      <c r="J225" s="142">
        <v>111</v>
      </c>
      <c r="K225" s="142">
        <v>104</v>
      </c>
      <c r="L225" s="142">
        <v>100</v>
      </c>
      <c r="M225" s="142">
        <v>112</v>
      </c>
      <c r="N225" s="83">
        <v>85</v>
      </c>
      <c r="O225" s="84">
        <v>76</v>
      </c>
      <c r="P225" s="45">
        <f t="shared" si="19"/>
        <v>1138</v>
      </c>
      <c r="Q225" s="54">
        <f t="shared" si="20"/>
        <v>1.1417300320145916E-3</v>
      </c>
      <c r="S225" s="130"/>
    </row>
    <row r="226" spans="1:19" ht="45.75" hidden="1" thickBot="1" x14ac:dyDescent="0.3">
      <c r="A226" s="40" t="s">
        <v>353</v>
      </c>
      <c r="B226" s="69" t="str">
        <f t="shared" si="18"/>
        <v>DEMORA DE LA AUTORIZACIÓN DE CONSULTAS MÉDICAS SUB-ESPECIALIZADAS</v>
      </c>
      <c r="C226" s="140" t="s">
        <v>869</v>
      </c>
      <c r="D226" s="141">
        <v>63</v>
      </c>
      <c r="E226" s="142">
        <v>86</v>
      </c>
      <c r="F226" s="142">
        <v>121</v>
      </c>
      <c r="G226" s="142">
        <v>115</v>
      </c>
      <c r="H226" s="142">
        <v>85</v>
      </c>
      <c r="I226" s="142">
        <v>93</v>
      </c>
      <c r="J226" s="142">
        <v>80</v>
      </c>
      <c r="K226" s="142">
        <v>105</v>
      </c>
      <c r="L226" s="142">
        <v>98</v>
      </c>
      <c r="M226" s="142">
        <v>86</v>
      </c>
      <c r="N226" s="83">
        <v>105</v>
      </c>
      <c r="O226" s="84">
        <v>97</v>
      </c>
      <c r="P226" s="45">
        <f t="shared" si="19"/>
        <v>1134</v>
      </c>
      <c r="Q226" s="54">
        <f t="shared" si="20"/>
        <v>1.1377169211815E-3</v>
      </c>
      <c r="S226" s="130"/>
    </row>
    <row r="227" spans="1:19" ht="30.75" hidden="1" thickBot="1" x14ac:dyDescent="0.3">
      <c r="A227" s="40" t="s">
        <v>459</v>
      </c>
      <c r="B227" s="69" t="str">
        <f t="shared" si="18"/>
        <v>FALTA DE OPORTUNIDAD EN LA ASIGNACIÓN DE UCI</v>
      </c>
      <c r="C227" s="140" t="s">
        <v>870</v>
      </c>
      <c r="D227" s="141">
        <v>63</v>
      </c>
      <c r="E227" s="142">
        <v>21</v>
      </c>
      <c r="F227" s="142">
        <v>35</v>
      </c>
      <c r="G227" s="142">
        <v>148</v>
      </c>
      <c r="H227" s="142">
        <v>180</v>
      </c>
      <c r="I227" s="142">
        <v>301</v>
      </c>
      <c r="J227" s="142">
        <v>96</v>
      </c>
      <c r="K227" s="142">
        <v>39</v>
      </c>
      <c r="L227" s="142">
        <v>60</v>
      </c>
      <c r="M227" s="142">
        <v>48</v>
      </c>
      <c r="N227" s="83">
        <v>64</v>
      </c>
      <c r="O227" s="84">
        <v>35</v>
      </c>
      <c r="P227" s="45">
        <f t="shared" si="19"/>
        <v>1090</v>
      </c>
      <c r="Q227" s="54">
        <f t="shared" si="20"/>
        <v>1.0935727020174911E-3</v>
      </c>
      <c r="S227" s="130"/>
    </row>
    <row r="228" spans="1:19" ht="30.75" hidden="1" thickBot="1" x14ac:dyDescent="0.3">
      <c r="A228" s="40" t="s">
        <v>380</v>
      </c>
      <c r="B228" s="69" t="str">
        <f t="shared" si="18"/>
        <v>NEGACIÓN DE LA PRESTACIÓN DE SERVICIOS DE IMAGENOLOGÍA</v>
      </c>
      <c r="C228" s="140" t="s">
        <v>871</v>
      </c>
      <c r="D228" s="141">
        <v>22</v>
      </c>
      <c r="E228" s="142">
        <v>40</v>
      </c>
      <c r="F228" s="142">
        <v>46</v>
      </c>
      <c r="G228" s="142">
        <v>38</v>
      </c>
      <c r="H228" s="142">
        <v>39</v>
      </c>
      <c r="I228" s="142">
        <v>36</v>
      </c>
      <c r="J228" s="142">
        <v>86</v>
      </c>
      <c r="K228" s="142">
        <v>90</v>
      </c>
      <c r="L228" s="142">
        <v>162</v>
      </c>
      <c r="M228" s="142">
        <v>134</v>
      </c>
      <c r="N228" s="83">
        <v>206</v>
      </c>
      <c r="O228" s="84">
        <v>97</v>
      </c>
      <c r="P228" s="45">
        <f t="shared" si="19"/>
        <v>996</v>
      </c>
      <c r="Q228" s="54">
        <f t="shared" si="20"/>
        <v>9.9926459743983603E-4</v>
      </c>
      <c r="S228" s="130"/>
    </row>
    <row r="229" spans="1:19" ht="30.75" hidden="1" thickBot="1" x14ac:dyDescent="0.3">
      <c r="A229" s="40" t="s">
        <v>368</v>
      </c>
      <c r="B229" s="69" t="str">
        <f t="shared" si="18"/>
        <v>NEGACIÓN DE LA AUTORIZACIÓN DE INSUMOS NO POS</v>
      </c>
      <c r="C229" s="140" t="s">
        <v>872</v>
      </c>
      <c r="D229" s="141">
        <v>45</v>
      </c>
      <c r="E229" s="142">
        <v>55</v>
      </c>
      <c r="F229" s="142">
        <v>65</v>
      </c>
      <c r="G229" s="142">
        <v>69</v>
      </c>
      <c r="H229" s="142">
        <v>72</v>
      </c>
      <c r="I229" s="142">
        <v>69</v>
      </c>
      <c r="J229" s="142">
        <v>89</v>
      </c>
      <c r="K229" s="142">
        <v>92</v>
      </c>
      <c r="L229" s="142">
        <v>97</v>
      </c>
      <c r="M229" s="142">
        <v>63</v>
      </c>
      <c r="N229" s="83">
        <v>92</v>
      </c>
      <c r="O229" s="84">
        <v>89</v>
      </c>
      <c r="P229" s="45">
        <f t="shared" si="19"/>
        <v>897</v>
      </c>
      <c r="Q229" s="54">
        <f t="shared" si="20"/>
        <v>8.999401043208161E-4</v>
      </c>
      <c r="S229" s="130"/>
    </row>
    <row r="230" spans="1:19" ht="30.75" hidden="1" thickBot="1" x14ac:dyDescent="0.3">
      <c r="A230" s="40" t="s">
        <v>355</v>
      </c>
      <c r="B230" s="69" t="str">
        <f t="shared" si="18"/>
        <v>INCONSISTENCIAS EN REPORTES DE APORTES</v>
      </c>
      <c r="C230" s="140" t="s">
        <v>356</v>
      </c>
      <c r="D230" s="141">
        <v>69</v>
      </c>
      <c r="E230" s="142">
        <v>71</v>
      </c>
      <c r="F230" s="142">
        <v>88</v>
      </c>
      <c r="G230" s="142">
        <v>88</v>
      </c>
      <c r="H230" s="142">
        <v>83</v>
      </c>
      <c r="I230" s="142">
        <v>83</v>
      </c>
      <c r="J230" s="142">
        <v>111</v>
      </c>
      <c r="K230" s="142">
        <v>79</v>
      </c>
      <c r="L230" s="142">
        <v>70</v>
      </c>
      <c r="M230" s="142">
        <v>47</v>
      </c>
      <c r="N230" s="83">
        <v>45</v>
      </c>
      <c r="O230" s="84">
        <v>27</v>
      </c>
      <c r="P230" s="45">
        <f t="shared" si="19"/>
        <v>861</v>
      </c>
      <c r="Q230" s="54">
        <f t="shared" si="20"/>
        <v>8.6382210682299076E-4</v>
      </c>
      <c r="S230" s="130"/>
    </row>
    <row r="231" spans="1:19" ht="15.75" hidden="1" thickBot="1" x14ac:dyDescent="0.3">
      <c r="A231" s="40" t="s">
        <v>382</v>
      </c>
      <c r="B231" s="69" t="str">
        <f t="shared" si="18"/>
        <v>SEGUIMIENTO A TUTELAS</v>
      </c>
      <c r="C231" s="140" t="s">
        <v>383</v>
      </c>
      <c r="D231" s="141">
        <v>12</v>
      </c>
      <c r="E231" s="142">
        <v>11</v>
      </c>
      <c r="F231" s="142">
        <v>18</v>
      </c>
      <c r="G231" s="142">
        <v>16</v>
      </c>
      <c r="H231" s="142">
        <v>165</v>
      </c>
      <c r="I231" s="142">
        <v>109</v>
      </c>
      <c r="J231" s="142">
        <v>277</v>
      </c>
      <c r="K231" s="142">
        <v>84</v>
      </c>
      <c r="L231" s="142">
        <v>26</v>
      </c>
      <c r="M231" s="142">
        <v>12</v>
      </c>
      <c r="N231" s="83">
        <v>32</v>
      </c>
      <c r="O231" s="84">
        <v>84</v>
      </c>
      <c r="P231" s="45">
        <f t="shared" si="19"/>
        <v>846</v>
      </c>
      <c r="Q231" s="54">
        <f t="shared" si="20"/>
        <v>8.4877294119889684E-4</v>
      </c>
      <c r="S231" s="130"/>
    </row>
    <row r="232" spans="1:19" ht="15.75" hidden="1" thickBot="1" x14ac:dyDescent="0.3">
      <c r="A232" s="40" t="s">
        <v>335</v>
      </c>
      <c r="B232" s="69" t="str">
        <f t="shared" si="18"/>
        <v>NEGACIÓN AFILIACIÓN</v>
      </c>
      <c r="C232" s="140" t="s">
        <v>873</v>
      </c>
      <c r="D232" s="141">
        <v>71</v>
      </c>
      <c r="E232" s="142">
        <v>120</v>
      </c>
      <c r="F232" s="142">
        <v>74</v>
      </c>
      <c r="G232" s="142">
        <v>79</v>
      </c>
      <c r="H232" s="142">
        <v>76</v>
      </c>
      <c r="I232" s="142">
        <v>61</v>
      </c>
      <c r="J232" s="142">
        <v>64</v>
      </c>
      <c r="K232" s="142">
        <v>74</v>
      </c>
      <c r="L232" s="142">
        <v>69</v>
      </c>
      <c r="M232" s="142">
        <v>41</v>
      </c>
      <c r="N232" s="83">
        <v>61</v>
      </c>
      <c r="O232" s="84">
        <v>50</v>
      </c>
      <c r="P232" s="45">
        <f t="shared" si="19"/>
        <v>840</v>
      </c>
      <c r="Q232" s="54">
        <f t="shared" si="20"/>
        <v>8.4275327494925923E-4</v>
      </c>
      <c r="S232" s="130"/>
    </row>
    <row r="233" spans="1:19" ht="30.75" hidden="1" thickBot="1" x14ac:dyDescent="0.3">
      <c r="A233" s="40" t="s">
        <v>351</v>
      </c>
      <c r="B233" s="69" t="str">
        <f t="shared" si="18"/>
        <v>INCONSISTENCIAS EN LOS APORTES DE LOS USUARIOS</v>
      </c>
      <c r="C233" s="140" t="s">
        <v>352</v>
      </c>
      <c r="D233" s="141">
        <v>101</v>
      </c>
      <c r="E233" s="142">
        <v>70</v>
      </c>
      <c r="F233" s="142">
        <v>93</v>
      </c>
      <c r="G233" s="142">
        <v>86</v>
      </c>
      <c r="H233" s="142">
        <v>82</v>
      </c>
      <c r="I233" s="142">
        <v>70</v>
      </c>
      <c r="J233" s="142">
        <v>81</v>
      </c>
      <c r="K233" s="142">
        <v>79</v>
      </c>
      <c r="L233" s="142">
        <v>46</v>
      </c>
      <c r="M233" s="142">
        <v>52</v>
      </c>
      <c r="N233" s="83">
        <v>47</v>
      </c>
      <c r="O233" s="84">
        <v>31</v>
      </c>
      <c r="P233" s="45">
        <f t="shared" si="19"/>
        <v>838</v>
      </c>
      <c r="Q233" s="54">
        <f t="shared" si="20"/>
        <v>8.4074671953271332E-4</v>
      </c>
      <c r="S233" s="130"/>
    </row>
    <row r="234" spans="1:19" ht="30.75" hidden="1" thickBot="1" x14ac:dyDescent="0.3">
      <c r="A234" s="40" t="s">
        <v>354</v>
      </c>
      <c r="B234" s="69" t="str">
        <f t="shared" si="18"/>
        <v>RESTRICCIÓN EN LA LIBRE ESCOGENCIA DE MÉDICO ESPECIALISTA</v>
      </c>
      <c r="C234" s="140" t="s">
        <v>874</v>
      </c>
      <c r="D234" s="141">
        <v>59</v>
      </c>
      <c r="E234" s="142">
        <v>67</v>
      </c>
      <c r="F234" s="142">
        <v>79</v>
      </c>
      <c r="G234" s="142">
        <v>83</v>
      </c>
      <c r="H234" s="142">
        <v>58</v>
      </c>
      <c r="I234" s="142">
        <v>57</v>
      </c>
      <c r="J234" s="142">
        <v>68</v>
      </c>
      <c r="K234" s="142">
        <v>84</v>
      </c>
      <c r="L234" s="142">
        <v>64</v>
      </c>
      <c r="M234" s="142">
        <v>63</v>
      </c>
      <c r="N234" s="83">
        <v>80</v>
      </c>
      <c r="O234" s="84">
        <v>64</v>
      </c>
      <c r="P234" s="45">
        <f t="shared" si="19"/>
        <v>826</v>
      </c>
      <c r="Q234" s="54">
        <f t="shared" si="20"/>
        <v>8.2870738703343821E-4</v>
      </c>
      <c r="S234" s="130"/>
    </row>
    <row r="235" spans="1:19" ht="45.75" hidden="1" thickBot="1" x14ac:dyDescent="0.3">
      <c r="A235" s="40" t="s">
        <v>347</v>
      </c>
      <c r="B235" s="69" t="str">
        <f t="shared" si="18"/>
        <v>NEGACIÓN DE LA AUTORIZACIÓN DE EXÁMENES DE LABORATORIO O DIAGNÓSTICOS</v>
      </c>
      <c r="C235" s="140" t="s">
        <v>875</v>
      </c>
      <c r="D235" s="141">
        <v>67</v>
      </c>
      <c r="E235" s="142">
        <v>76</v>
      </c>
      <c r="F235" s="142">
        <v>100</v>
      </c>
      <c r="G235" s="142">
        <v>66</v>
      </c>
      <c r="H235" s="142">
        <v>50</v>
      </c>
      <c r="I235" s="142">
        <v>41</v>
      </c>
      <c r="J235" s="142">
        <v>62</v>
      </c>
      <c r="K235" s="142">
        <v>67</v>
      </c>
      <c r="L235" s="142">
        <v>61</v>
      </c>
      <c r="M235" s="142">
        <v>57</v>
      </c>
      <c r="N235" s="83">
        <v>62</v>
      </c>
      <c r="O235" s="84">
        <v>87</v>
      </c>
      <c r="P235" s="45">
        <f t="shared" si="19"/>
        <v>796</v>
      </c>
      <c r="Q235" s="54">
        <f t="shared" si="20"/>
        <v>7.9860905578525037E-4</v>
      </c>
      <c r="S235" s="130"/>
    </row>
    <row r="236" spans="1:19" ht="30.75" hidden="1" thickBot="1" x14ac:dyDescent="0.3">
      <c r="A236" s="40" t="s">
        <v>350</v>
      </c>
      <c r="B236" s="69" t="str">
        <f t="shared" si="18"/>
        <v>NEGACIÓN DE LA PRESTACIÓN DEL SERVICIO DE URGENCIAS</v>
      </c>
      <c r="C236" s="140" t="s">
        <v>876</v>
      </c>
      <c r="D236" s="141">
        <v>46</v>
      </c>
      <c r="E236" s="142">
        <v>40</v>
      </c>
      <c r="F236" s="142">
        <v>57</v>
      </c>
      <c r="G236" s="142">
        <v>47</v>
      </c>
      <c r="H236" s="142">
        <v>51</v>
      </c>
      <c r="I236" s="142">
        <v>77</v>
      </c>
      <c r="J236" s="142">
        <v>81</v>
      </c>
      <c r="K236" s="142">
        <v>86</v>
      </c>
      <c r="L236" s="142">
        <v>71</v>
      </c>
      <c r="M236" s="142">
        <v>65</v>
      </c>
      <c r="N236" s="83">
        <v>65</v>
      </c>
      <c r="O236" s="84">
        <v>75</v>
      </c>
      <c r="P236" s="45">
        <f t="shared" si="19"/>
        <v>761</v>
      </c>
      <c r="Q236" s="54">
        <f t="shared" si="20"/>
        <v>7.6349433599569793E-4</v>
      </c>
      <c r="S236" s="130"/>
    </row>
    <row r="237" spans="1:19" ht="15.75" hidden="1" thickBot="1" x14ac:dyDescent="0.3">
      <c r="A237" s="40" t="s">
        <v>361</v>
      </c>
      <c r="B237" s="69" t="str">
        <f t="shared" si="18"/>
        <v>NEGACIÓN DEL REEMBOLSO</v>
      </c>
      <c r="C237" s="140" t="s">
        <v>877</v>
      </c>
      <c r="D237" s="141">
        <v>81</v>
      </c>
      <c r="E237" s="142">
        <v>60</v>
      </c>
      <c r="F237" s="142">
        <v>69</v>
      </c>
      <c r="G237" s="142">
        <v>57</v>
      </c>
      <c r="H237" s="142">
        <v>50</v>
      </c>
      <c r="I237" s="142">
        <v>52</v>
      </c>
      <c r="J237" s="142">
        <v>62</v>
      </c>
      <c r="K237" s="142">
        <v>78</v>
      </c>
      <c r="L237" s="142">
        <v>75</v>
      </c>
      <c r="M237" s="142">
        <v>67</v>
      </c>
      <c r="N237" s="83">
        <v>59</v>
      </c>
      <c r="O237" s="84">
        <v>46</v>
      </c>
      <c r="P237" s="45">
        <f t="shared" si="19"/>
        <v>756</v>
      </c>
      <c r="Q237" s="54">
        <f t="shared" si="20"/>
        <v>7.5847794745433333E-4</v>
      </c>
      <c r="S237" s="130"/>
    </row>
    <row r="238" spans="1:19" ht="30.75" hidden="1" thickBot="1" x14ac:dyDescent="0.3">
      <c r="A238" s="40" t="s">
        <v>399</v>
      </c>
      <c r="B238" s="69" t="str">
        <f t="shared" si="18"/>
        <v>NEGACIÓN PARA LA ENTREGA DE MEDICAMENTOS POS</v>
      </c>
      <c r="C238" s="140" t="s">
        <v>878</v>
      </c>
      <c r="D238" s="141">
        <v>34</v>
      </c>
      <c r="E238" s="142">
        <v>31</v>
      </c>
      <c r="F238" s="142">
        <v>56</v>
      </c>
      <c r="G238" s="142">
        <v>58</v>
      </c>
      <c r="H238" s="142">
        <v>43</v>
      </c>
      <c r="I238" s="142">
        <v>55</v>
      </c>
      <c r="J238" s="142">
        <v>92</v>
      </c>
      <c r="K238" s="142">
        <v>108</v>
      </c>
      <c r="L238" s="142">
        <v>81</v>
      </c>
      <c r="M238" s="142">
        <v>70</v>
      </c>
      <c r="N238" s="83">
        <v>62</v>
      </c>
      <c r="O238" s="84">
        <v>59</v>
      </c>
      <c r="P238" s="45">
        <f t="shared" si="19"/>
        <v>749</v>
      </c>
      <c r="Q238" s="54">
        <f t="shared" si="20"/>
        <v>7.5145500349642282E-4</v>
      </c>
      <c r="S238" s="130"/>
    </row>
    <row r="239" spans="1:19" ht="30.75" hidden="1" thickBot="1" x14ac:dyDescent="0.3">
      <c r="A239" s="40" t="s">
        <v>342</v>
      </c>
      <c r="B239" s="69" t="str">
        <f t="shared" si="18"/>
        <v>DEMORA DE LA AUTORIZACIÓN DE ELEMENTOS DE AYUDAS AUDITIVAS</v>
      </c>
      <c r="C239" s="140" t="s">
        <v>879</v>
      </c>
      <c r="D239" s="141">
        <v>38</v>
      </c>
      <c r="E239" s="142">
        <v>60</v>
      </c>
      <c r="F239" s="142">
        <v>54</v>
      </c>
      <c r="G239" s="142">
        <v>57</v>
      </c>
      <c r="H239" s="142">
        <v>41</v>
      </c>
      <c r="I239" s="142">
        <v>42</v>
      </c>
      <c r="J239" s="142">
        <v>61</v>
      </c>
      <c r="K239" s="142">
        <v>61</v>
      </c>
      <c r="L239" s="142">
        <v>77</v>
      </c>
      <c r="M239" s="142">
        <v>65</v>
      </c>
      <c r="N239" s="83">
        <v>74</v>
      </c>
      <c r="O239" s="84">
        <v>44</v>
      </c>
      <c r="P239" s="45">
        <f t="shared" si="19"/>
        <v>674</v>
      </c>
      <c r="Q239" s="54">
        <f t="shared" si="20"/>
        <v>6.7620917537595322E-4</v>
      </c>
      <c r="S239" s="130"/>
    </row>
    <row r="240" spans="1:19" ht="15.75" hidden="1" thickBot="1" x14ac:dyDescent="0.3">
      <c r="A240" s="40" t="s">
        <v>755</v>
      </c>
      <c r="B240" s="69" t="str">
        <f t="shared" si="18"/>
        <v>OTROS VACUNA COVID19</v>
      </c>
      <c r="C240" s="140" t="s">
        <v>762</v>
      </c>
      <c r="D240" s="141"/>
      <c r="E240" s="142">
        <v>3</v>
      </c>
      <c r="F240" s="142">
        <v>47</v>
      </c>
      <c r="G240" s="142">
        <v>81</v>
      </c>
      <c r="H240" s="142">
        <v>91</v>
      </c>
      <c r="I240" s="142">
        <v>117</v>
      </c>
      <c r="J240" s="142">
        <v>101</v>
      </c>
      <c r="K240" s="142">
        <v>77</v>
      </c>
      <c r="L240" s="142">
        <v>53</v>
      </c>
      <c r="M240" s="142">
        <v>27</v>
      </c>
      <c r="N240" s="83">
        <v>43</v>
      </c>
      <c r="O240" s="84">
        <v>30</v>
      </c>
      <c r="P240" s="45">
        <f t="shared" si="19"/>
        <v>670</v>
      </c>
      <c r="Q240" s="54">
        <f t="shared" si="20"/>
        <v>6.7219606454286152E-4</v>
      </c>
      <c r="S240" s="130"/>
    </row>
    <row r="241" spans="1:19" ht="15.75" hidden="1" thickBot="1" x14ac:dyDescent="0.3">
      <c r="A241" s="40" t="s">
        <v>387</v>
      </c>
      <c r="B241" s="69" t="str">
        <f t="shared" si="18"/>
        <v>SEGUIMIENTO A DERECHOS DE PETICIÓN</v>
      </c>
      <c r="C241" s="140" t="s">
        <v>880</v>
      </c>
      <c r="D241" s="141">
        <v>65</v>
      </c>
      <c r="E241" s="142">
        <v>38</v>
      </c>
      <c r="F241" s="142">
        <v>66</v>
      </c>
      <c r="G241" s="142">
        <v>50</v>
      </c>
      <c r="H241" s="142">
        <v>80</v>
      </c>
      <c r="I241" s="142">
        <v>68</v>
      </c>
      <c r="J241" s="142">
        <v>73</v>
      </c>
      <c r="K241" s="142">
        <v>57</v>
      </c>
      <c r="L241" s="142">
        <v>39</v>
      </c>
      <c r="M241" s="142">
        <v>42</v>
      </c>
      <c r="N241" s="83">
        <v>33</v>
      </c>
      <c r="O241" s="84">
        <v>45</v>
      </c>
      <c r="P241" s="45">
        <f t="shared" si="19"/>
        <v>656</v>
      </c>
      <c r="Q241" s="54">
        <f t="shared" si="20"/>
        <v>6.581501766270405E-4</v>
      </c>
      <c r="S241" s="130"/>
    </row>
    <row r="242" spans="1:19" ht="30.75" hidden="1" thickBot="1" x14ac:dyDescent="0.3">
      <c r="A242" s="40" t="s">
        <v>379</v>
      </c>
      <c r="B242" s="69" t="str">
        <f t="shared" si="18"/>
        <v>NEGACIÓN PARA LA PROGRAMACIÓN Y/O REALIZACIÓN DE CIRUGÍA</v>
      </c>
      <c r="C242" s="140" t="s">
        <v>881</v>
      </c>
      <c r="D242" s="141">
        <v>18</v>
      </c>
      <c r="E242" s="142">
        <v>28</v>
      </c>
      <c r="F242" s="142">
        <v>46</v>
      </c>
      <c r="G242" s="142">
        <v>22</v>
      </c>
      <c r="H242" s="142">
        <v>22</v>
      </c>
      <c r="I242" s="142">
        <v>28</v>
      </c>
      <c r="J242" s="142">
        <v>58</v>
      </c>
      <c r="K242" s="142">
        <v>83</v>
      </c>
      <c r="L242" s="142">
        <v>100</v>
      </c>
      <c r="M242" s="142">
        <v>76</v>
      </c>
      <c r="N242" s="83">
        <v>98</v>
      </c>
      <c r="O242" s="84">
        <v>66</v>
      </c>
      <c r="P242" s="45">
        <f t="shared" si="19"/>
        <v>645</v>
      </c>
      <c r="Q242" s="54">
        <f t="shared" si="20"/>
        <v>6.4711412183603829E-4</v>
      </c>
      <c r="S242" s="130"/>
    </row>
    <row r="243" spans="1:19" ht="45.75" hidden="1" thickBot="1" x14ac:dyDescent="0.3">
      <c r="A243" s="40" t="s">
        <v>381</v>
      </c>
      <c r="B243" s="69" t="str">
        <f t="shared" si="18"/>
        <v>NEGACIÓN DE LA CONSULTA MÉDICA ESPECIALIZADA DE MEDICINA INTERNA DE OTRAS ESPECIALIDADES MÉDICAS</v>
      </c>
      <c r="C243" s="140" t="s">
        <v>882</v>
      </c>
      <c r="D243" s="141">
        <v>35</v>
      </c>
      <c r="E243" s="142">
        <v>40</v>
      </c>
      <c r="F243" s="142">
        <v>85</v>
      </c>
      <c r="G243" s="142">
        <v>64</v>
      </c>
      <c r="H243" s="142">
        <v>47</v>
      </c>
      <c r="I243" s="142">
        <v>23</v>
      </c>
      <c r="J243" s="142">
        <v>62</v>
      </c>
      <c r="K243" s="142">
        <v>64</v>
      </c>
      <c r="L243" s="142">
        <v>49</v>
      </c>
      <c r="M243" s="142">
        <v>34</v>
      </c>
      <c r="N243" s="83">
        <v>36</v>
      </c>
      <c r="O243" s="84">
        <v>86</v>
      </c>
      <c r="P243" s="45">
        <f t="shared" si="19"/>
        <v>625</v>
      </c>
      <c r="Q243" s="54">
        <f t="shared" si="20"/>
        <v>6.2704856767057976E-4</v>
      </c>
      <c r="S243" s="130"/>
    </row>
    <row r="244" spans="1:19" ht="15.75" hidden="1" thickBot="1" x14ac:dyDescent="0.3">
      <c r="A244" s="40" t="s">
        <v>345</v>
      </c>
      <c r="B244" s="69" t="str">
        <f t="shared" si="18"/>
        <v>INSUFICIENCIA DE RED PRESTADORA</v>
      </c>
      <c r="C244" s="140" t="s">
        <v>346</v>
      </c>
      <c r="D244" s="141">
        <v>25</v>
      </c>
      <c r="E244" s="142">
        <v>35</v>
      </c>
      <c r="F244" s="142">
        <v>66</v>
      </c>
      <c r="G244" s="142">
        <v>30</v>
      </c>
      <c r="H244" s="142">
        <v>43</v>
      </c>
      <c r="I244" s="142">
        <v>35</v>
      </c>
      <c r="J244" s="142">
        <v>38</v>
      </c>
      <c r="K244" s="142">
        <v>59</v>
      </c>
      <c r="L244" s="142">
        <v>58</v>
      </c>
      <c r="M244" s="142">
        <v>45</v>
      </c>
      <c r="N244" s="83">
        <v>64</v>
      </c>
      <c r="O244" s="84">
        <v>90</v>
      </c>
      <c r="P244" s="45">
        <f t="shared" si="19"/>
        <v>588</v>
      </c>
      <c r="Q244" s="54">
        <f t="shared" si="20"/>
        <v>5.8992729246448142E-4</v>
      </c>
      <c r="S244" s="130"/>
    </row>
    <row r="245" spans="1:19" ht="30.75" hidden="1" thickBot="1" x14ac:dyDescent="0.3">
      <c r="A245" s="40" t="s">
        <v>363</v>
      </c>
      <c r="B245" s="69" t="str">
        <f t="shared" si="18"/>
        <v>NEGACIÓN DE LA AUTORIZACIÓN DE CONSULTAS MÉDICAS ESPECIALIZADA</v>
      </c>
      <c r="C245" s="140" t="s">
        <v>883</v>
      </c>
      <c r="D245" s="141">
        <v>33</v>
      </c>
      <c r="E245" s="142">
        <v>45</v>
      </c>
      <c r="F245" s="142">
        <v>50</v>
      </c>
      <c r="G245" s="142">
        <v>56</v>
      </c>
      <c r="H245" s="142">
        <v>39</v>
      </c>
      <c r="I245" s="142">
        <v>47</v>
      </c>
      <c r="J245" s="142">
        <v>64</v>
      </c>
      <c r="K245" s="142">
        <v>70</v>
      </c>
      <c r="L245" s="142">
        <v>51</v>
      </c>
      <c r="M245" s="142">
        <v>51</v>
      </c>
      <c r="N245" s="83">
        <v>37</v>
      </c>
      <c r="O245" s="84">
        <v>38</v>
      </c>
      <c r="P245" s="45">
        <f t="shared" si="19"/>
        <v>581</v>
      </c>
      <c r="Q245" s="54">
        <f t="shared" si="20"/>
        <v>5.8290434850657102E-4</v>
      </c>
      <c r="S245" s="130"/>
    </row>
    <row r="246" spans="1:19" ht="30.75" hidden="1" thickBot="1" x14ac:dyDescent="0.3">
      <c r="A246" s="40" t="s">
        <v>337</v>
      </c>
      <c r="B246" s="69" t="str">
        <f t="shared" si="18"/>
        <v>RESTRICCIÓN EN LA LIBRE ESCOGENCIA DE EPS POR ASIGNACIÓN FORZOSA</v>
      </c>
      <c r="C246" s="140" t="s">
        <v>884</v>
      </c>
      <c r="D246" s="141">
        <v>65</v>
      </c>
      <c r="E246" s="142">
        <v>62</v>
      </c>
      <c r="F246" s="142">
        <v>40</v>
      </c>
      <c r="G246" s="142">
        <v>55</v>
      </c>
      <c r="H246" s="142">
        <v>33</v>
      </c>
      <c r="I246" s="142">
        <v>47</v>
      </c>
      <c r="J246" s="142">
        <v>37</v>
      </c>
      <c r="K246" s="142">
        <v>57</v>
      </c>
      <c r="L246" s="142">
        <v>41</v>
      </c>
      <c r="M246" s="142">
        <v>55</v>
      </c>
      <c r="N246" s="83">
        <v>44</v>
      </c>
      <c r="O246" s="84">
        <v>33</v>
      </c>
      <c r="P246" s="45">
        <f t="shared" si="19"/>
        <v>569</v>
      </c>
      <c r="Q246" s="54">
        <f t="shared" si="20"/>
        <v>5.7086501600729579E-4</v>
      </c>
      <c r="S246" s="130"/>
    </row>
    <row r="247" spans="1:19" ht="15.75" hidden="1" thickBot="1" x14ac:dyDescent="0.3">
      <c r="A247" s="40" t="s">
        <v>376</v>
      </c>
      <c r="B247" s="69" t="str">
        <f t="shared" si="18"/>
        <v>SALUD MENTAL</v>
      </c>
      <c r="C247" s="140" t="s">
        <v>416</v>
      </c>
      <c r="D247" s="141">
        <v>63</v>
      </c>
      <c r="E247" s="142">
        <v>48</v>
      </c>
      <c r="F247" s="142">
        <v>70</v>
      </c>
      <c r="G247" s="142">
        <v>68</v>
      </c>
      <c r="H247" s="142">
        <v>88</v>
      </c>
      <c r="I247" s="142">
        <v>68</v>
      </c>
      <c r="J247" s="142">
        <v>43</v>
      </c>
      <c r="K247" s="142">
        <v>56</v>
      </c>
      <c r="L247" s="142">
        <v>23</v>
      </c>
      <c r="M247" s="142">
        <v>15</v>
      </c>
      <c r="N247" s="83">
        <v>18</v>
      </c>
      <c r="O247" s="84">
        <v>5</v>
      </c>
      <c r="P247" s="45">
        <f t="shared" si="19"/>
        <v>565</v>
      </c>
      <c r="Q247" s="54">
        <f t="shared" si="20"/>
        <v>5.6685190517420409E-4</v>
      </c>
      <c r="S247" s="130"/>
    </row>
    <row r="248" spans="1:19" ht="30.75" hidden="1" thickBot="1" x14ac:dyDescent="0.3">
      <c r="A248" s="40" t="s">
        <v>415</v>
      </c>
      <c r="B248" s="69" t="str">
        <f t="shared" si="18"/>
        <v>NEGACIÓN DE LA AUTORIZACIÓN DE MEDICAMENTOS NO-POS</v>
      </c>
      <c r="C248" s="140" t="s">
        <v>885</v>
      </c>
      <c r="D248" s="141">
        <v>29</v>
      </c>
      <c r="E248" s="142">
        <v>41</v>
      </c>
      <c r="F248" s="142">
        <v>58</v>
      </c>
      <c r="G248" s="142">
        <v>33</v>
      </c>
      <c r="H248" s="142">
        <v>40</v>
      </c>
      <c r="I248" s="142">
        <v>29</v>
      </c>
      <c r="J248" s="142">
        <v>58</v>
      </c>
      <c r="K248" s="142">
        <v>64</v>
      </c>
      <c r="L248" s="142">
        <v>74</v>
      </c>
      <c r="M248" s="142">
        <v>53</v>
      </c>
      <c r="N248" s="83">
        <v>46</v>
      </c>
      <c r="O248" s="84">
        <v>40</v>
      </c>
      <c r="P248" s="45">
        <f t="shared" si="19"/>
        <v>565</v>
      </c>
      <c r="Q248" s="54">
        <f t="shared" si="20"/>
        <v>5.6685190517420409E-4</v>
      </c>
      <c r="S248" s="130"/>
    </row>
    <row r="249" spans="1:19" ht="30.75" hidden="1" thickBot="1" x14ac:dyDescent="0.3">
      <c r="A249" s="40" t="s">
        <v>414</v>
      </c>
      <c r="B249" s="69" t="str">
        <f t="shared" si="18"/>
        <v>NEGACIÓN DE LA CONSULTA MÉDICA GENERAL</v>
      </c>
      <c r="C249" s="140" t="s">
        <v>886</v>
      </c>
      <c r="D249" s="141">
        <v>40</v>
      </c>
      <c r="E249" s="142">
        <v>51</v>
      </c>
      <c r="F249" s="142">
        <v>48</v>
      </c>
      <c r="G249" s="142">
        <v>50</v>
      </c>
      <c r="H249" s="142">
        <v>44</v>
      </c>
      <c r="I249" s="142">
        <v>49</v>
      </c>
      <c r="J249" s="142">
        <v>67</v>
      </c>
      <c r="K249" s="142">
        <v>67</v>
      </c>
      <c r="L249" s="142">
        <v>50</v>
      </c>
      <c r="M249" s="142">
        <v>43</v>
      </c>
      <c r="N249" s="83">
        <v>28</v>
      </c>
      <c r="O249" s="84">
        <v>27</v>
      </c>
      <c r="P249" s="45">
        <f t="shared" si="19"/>
        <v>564</v>
      </c>
      <c r="Q249" s="54">
        <f t="shared" si="20"/>
        <v>5.6584862746593119E-4</v>
      </c>
      <c r="S249" s="130"/>
    </row>
    <row r="250" spans="1:19" ht="45.75" hidden="1" thickBot="1" x14ac:dyDescent="0.3">
      <c r="A250" s="40" t="s">
        <v>390</v>
      </c>
      <c r="B250" s="69" t="str">
        <f t="shared" si="18"/>
        <v>NEGACIÓN DEL SERVICIO CUANDO NO SE HA HECHO EFECTIVO EL TRASLADO A OTRA EPS</v>
      </c>
      <c r="C250" s="140" t="s">
        <v>360</v>
      </c>
      <c r="D250" s="141">
        <v>34</v>
      </c>
      <c r="E250" s="142">
        <v>42</v>
      </c>
      <c r="F250" s="142">
        <v>49</v>
      </c>
      <c r="G250" s="142">
        <v>43</v>
      </c>
      <c r="H250" s="142">
        <v>39</v>
      </c>
      <c r="I250" s="142">
        <v>53</v>
      </c>
      <c r="J250" s="142">
        <v>82</v>
      </c>
      <c r="K250" s="142">
        <v>68</v>
      </c>
      <c r="L250" s="142">
        <v>49</v>
      </c>
      <c r="M250" s="142">
        <v>26</v>
      </c>
      <c r="N250" s="83">
        <v>36</v>
      </c>
      <c r="O250" s="84">
        <v>35</v>
      </c>
      <c r="P250" s="45">
        <f t="shared" si="19"/>
        <v>556</v>
      </c>
      <c r="Q250" s="54">
        <f t="shared" si="20"/>
        <v>5.5782240579974778E-4</v>
      </c>
      <c r="S250" s="130"/>
    </row>
    <row r="251" spans="1:19" ht="60.75" hidden="1" thickBot="1" x14ac:dyDescent="0.3">
      <c r="A251" s="40" t="s">
        <v>359</v>
      </c>
      <c r="B251" s="69" t="str">
        <f t="shared" si="18"/>
        <v>AMBULANCIA INADECUADA PARA EL TRASLADO DEL PACIENTE SEGÚN EL NIVEL DE  COMPLEJIDAD (REFERENCIA-CONTRARREFERENCIA)</v>
      </c>
      <c r="C251" s="140" t="s">
        <v>887</v>
      </c>
      <c r="D251" s="141">
        <v>49</v>
      </c>
      <c r="E251" s="142">
        <v>23</v>
      </c>
      <c r="F251" s="142">
        <v>52</v>
      </c>
      <c r="G251" s="142">
        <v>46</v>
      </c>
      <c r="H251" s="142">
        <v>44</v>
      </c>
      <c r="I251" s="142">
        <v>40</v>
      </c>
      <c r="J251" s="142">
        <v>52</v>
      </c>
      <c r="K251" s="142">
        <v>50</v>
      </c>
      <c r="L251" s="142">
        <v>30</v>
      </c>
      <c r="M251" s="142">
        <v>37</v>
      </c>
      <c r="N251" s="83">
        <v>85</v>
      </c>
      <c r="O251" s="84">
        <v>48</v>
      </c>
      <c r="P251" s="45">
        <f t="shared" si="19"/>
        <v>556</v>
      </c>
      <c r="Q251" s="54">
        <f t="shared" si="20"/>
        <v>5.5782240579974778E-4</v>
      </c>
      <c r="S251" s="130"/>
    </row>
    <row r="252" spans="1:19" ht="45.75" hidden="1" thickBot="1" x14ac:dyDescent="0.3">
      <c r="A252" s="40" t="s">
        <v>362</v>
      </c>
      <c r="B252" s="69" t="str">
        <f t="shared" si="18"/>
        <v>FALLAS EN LA OPORTUNIDAD PARA LA UBICACIÓN DEL USUARIO (REFERENCIA-CONTRARREFERENCIA)</v>
      </c>
      <c r="C252" s="140" t="s">
        <v>888</v>
      </c>
      <c r="D252" s="141">
        <v>29</v>
      </c>
      <c r="E252" s="142">
        <v>23</v>
      </c>
      <c r="F252" s="142">
        <v>48</v>
      </c>
      <c r="G252" s="142">
        <v>44</v>
      </c>
      <c r="H252" s="142">
        <v>33</v>
      </c>
      <c r="I252" s="142">
        <v>60</v>
      </c>
      <c r="J252" s="142">
        <v>56</v>
      </c>
      <c r="K252" s="142">
        <v>41</v>
      </c>
      <c r="L252" s="142">
        <v>38</v>
      </c>
      <c r="M252" s="142">
        <v>50</v>
      </c>
      <c r="N252" s="83">
        <v>77</v>
      </c>
      <c r="O252" s="84">
        <v>47</v>
      </c>
      <c r="P252" s="45">
        <f t="shared" si="19"/>
        <v>546</v>
      </c>
      <c r="Q252" s="54">
        <f t="shared" si="20"/>
        <v>5.4778962871701847E-4</v>
      </c>
      <c r="S252" s="130"/>
    </row>
    <row r="253" spans="1:19" ht="30.75" hidden="1" thickBot="1" x14ac:dyDescent="0.3">
      <c r="A253" s="40" t="s">
        <v>393</v>
      </c>
      <c r="B253" s="69" t="str">
        <f t="shared" si="18"/>
        <v>NO RECONOCIMIENTO DE LA LICENCIA DE PATERNIDAD</v>
      </c>
      <c r="C253" s="140" t="s">
        <v>394</v>
      </c>
      <c r="D253" s="141">
        <v>44</v>
      </c>
      <c r="E253" s="142">
        <v>35</v>
      </c>
      <c r="F253" s="142">
        <v>34</v>
      </c>
      <c r="G253" s="142">
        <v>36</v>
      </c>
      <c r="H253" s="142">
        <v>42</v>
      </c>
      <c r="I253" s="142">
        <v>39</v>
      </c>
      <c r="J253" s="142">
        <v>56</v>
      </c>
      <c r="K253" s="142">
        <v>46</v>
      </c>
      <c r="L253" s="142">
        <v>67</v>
      </c>
      <c r="M253" s="142">
        <v>46</v>
      </c>
      <c r="N253" s="83">
        <v>51</v>
      </c>
      <c r="O253" s="84">
        <v>39</v>
      </c>
      <c r="P253" s="45">
        <f t="shared" si="19"/>
        <v>535</v>
      </c>
      <c r="Q253" s="54">
        <f t="shared" si="20"/>
        <v>5.3675357392601625E-4</v>
      </c>
      <c r="S253" s="130"/>
    </row>
    <row r="254" spans="1:19" ht="45.75" hidden="1" thickBot="1" x14ac:dyDescent="0.3">
      <c r="A254" s="40" t="s">
        <v>378</v>
      </c>
      <c r="B254" s="69" t="str">
        <f t="shared" si="18"/>
        <v>FALLAS EN EL MANEJO, ALMACENAMIENTO DE MEDICAMENTOS Y DISPOSITIVOS MÉDICOS</v>
      </c>
      <c r="C254" s="140" t="s">
        <v>889</v>
      </c>
      <c r="D254" s="141">
        <v>34</v>
      </c>
      <c r="E254" s="142">
        <v>53</v>
      </c>
      <c r="F254" s="142">
        <v>81</v>
      </c>
      <c r="G254" s="142">
        <v>81</v>
      </c>
      <c r="H254" s="142">
        <v>60</v>
      </c>
      <c r="I254" s="142">
        <v>39</v>
      </c>
      <c r="J254" s="142">
        <v>30</v>
      </c>
      <c r="K254" s="142">
        <v>48</v>
      </c>
      <c r="L254" s="142">
        <v>30</v>
      </c>
      <c r="M254" s="142">
        <v>34</v>
      </c>
      <c r="N254" s="83">
        <v>32</v>
      </c>
      <c r="O254" s="84">
        <v>7</v>
      </c>
      <c r="P254" s="45">
        <f t="shared" si="19"/>
        <v>529</v>
      </c>
      <c r="Q254" s="54">
        <f t="shared" si="20"/>
        <v>5.3073390767637875E-4</v>
      </c>
      <c r="S254" s="130"/>
    </row>
    <row r="255" spans="1:19" ht="30.75" hidden="1" thickBot="1" x14ac:dyDescent="0.3">
      <c r="A255" s="40" t="s">
        <v>364</v>
      </c>
      <c r="B255" s="69" t="str">
        <f t="shared" si="18"/>
        <v>INCONSISTENCIAS POR DEVOLUCIONES DE APORTES  </v>
      </c>
      <c r="C255" s="140" t="s">
        <v>365</v>
      </c>
      <c r="D255" s="141">
        <v>59</v>
      </c>
      <c r="E255" s="142">
        <v>41</v>
      </c>
      <c r="F255" s="142">
        <v>57</v>
      </c>
      <c r="G255" s="142">
        <v>43</v>
      </c>
      <c r="H255" s="142">
        <v>28</v>
      </c>
      <c r="I255" s="142">
        <v>36</v>
      </c>
      <c r="J255" s="142">
        <v>45</v>
      </c>
      <c r="K255" s="142">
        <v>53</v>
      </c>
      <c r="L255" s="142">
        <v>45</v>
      </c>
      <c r="M255" s="142">
        <v>44</v>
      </c>
      <c r="N255" s="83">
        <v>39</v>
      </c>
      <c r="O255" s="84">
        <v>25</v>
      </c>
      <c r="P255" s="45">
        <f t="shared" si="19"/>
        <v>515</v>
      </c>
      <c r="Q255" s="54">
        <f t="shared" si="20"/>
        <v>5.1668801976055773E-4</v>
      </c>
      <c r="S255" s="130"/>
    </row>
    <row r="256" spans="1:19" ht="15.75" hidden="1" thickBot="1" x14ac:dyDescent="0.3">
      <c r="A256" s="40" t="s">
        <v>396</v>
      </c>
      <c r="B256" s="69" t="str">
        <f t="shared" si="18"/>
        <v>SUSPENSIÓN DE LA AFILIACIÓN</v>
      </c>
      <c r="C256" s="140" t="s">
        <v>397</v>
      </c>
      <c r="D256" s="141">
        <v>63</v>
      </c>
      <c r="E256" s="142">
        <v>55</v>
      </c>
      <c r="F256" s="142">
        <v>49</v>
      </c>
      <c r="G256" s="142">
        <v>31</v>
      </c>
      <c r="H256" s="142">
        <v>42</v>
      </c>
      <c r="I256" s="142">
        <v>54</v>
      </c>
      <c r="J256" s="142">
        <v>55</v>
      </c>
      <c r="K256" s="142">
        <v>43</v>
      </c>
      <c r="L256" s="142">
        <v>33</v>
      </c>
      <c r="M256" s="142">
        <v>24</v>
      </c>
      <c r="N256" s="83">
        <v>35</v>
      </c>
      <c r="O256" s="84">
        <v>27</v>
      </c>
      <c r="P256" s="45">
        <f t="shared" si="19"/>
        <v>511</v>
      </c>
      <c r="Q256" s="54">
        <f t="shared" si="20"/>
        <v>5.1267490892746603E-4</v>
      </c>
      <c r="S256" s="130"/>
    </row>
    <row r="257" spans="1:19" ht="60.75" hidden="1" thickBot="1" x14ac:dyDescent="0.3">
      <c r="A257" s="40" t="s">
        <v>418</v>
      </c>
      <c r="B257" s="69" t="str">
        <f t="shared" si="18"/>
        <v>INCAPACIDAD DE LOS SERVICIOS PARA ACTUAR DE FORMA SINCRÓNICA Y ARTICULADA (ATENCIÓN FRAGMENTADA)</v>
      </c>
      <c r="C257" s="140" t="s">
        <v>890</v>
      </c>
      <c r="D257" s="141">
        <v>24</v>
      </c>
      <c r="E257" s="142">
        <v>25</v>
      </c>
      <c r="F257" s="142">
        <v>47</v>
      </c>
      <c r="G257" s="142">
        <v>37</v>
      </c>
      <c r="H257" s="142">
        <v>42</v>
      </c>
      <c r="I257" s="142">
        <v>37</v>
      </c>
      <c r="J257" s="142">
        <v>51</v>
      </c>
      <c r="K257" s="142">
        <v>51</v>
      </c>
      <c r="L257" s="142">
        <v>40</v>
      </c>
      <c r="M257" s="142">
        <v>41</v>
      </c>
      <c r="N257" s="83">
        <v>35</v>
      </c>
      <c r="O257" s="84">
        <v>71</v>
      </c>
      <c r="P257" s="45">
        <f t="shared" si="19"/>
        <v>501</v>
      </c>
      <c r="Q257" s="54">
        <f t="shared" si="20"/>
        <v>5.0264213184473671E-4</v>
      </c>
      <c r="S257" s="130"/>
    </row>
    <row r="258" spans="1:19" ht="15.75" hidden="1" thickBot="1" x14ac:dyDescent="0.3">
      <c r="A258" s="40" t="s">
        <v>437</v>
      </c>
      <c r="B258" s="69" t="str">
        <f t="shared" si="18"/>
        <v>MUERTE O FALLECIMIENTO DE USUARIO</v>
      </c>
      <c r="C258" s="140" t="s">
        <v>438</v>
      </c>
      <c r="D258" s="141">
        <v>51</v>
      </c>
      <c r="E258" s="142">
        <v>46</v>
      </c>
      <c r="F258" s="142">
        <v>47</v>
      </c>
      <c r="G258" s="142">
        <v>55</v>
      </c>
      <c r="H258" s="142">
        <v>63</v>
      </c>
      <c r="I258" s="142">
        <v>74</v>
      </c>
      <c r="J258" s="142">
        <v>58</v>
      </c>
      <c r="K258" s="142">
        <v>35</v>
      </c>
      <c r="L258" s="142">
        <v>23</v>
      </c>
      <c r="M258" s="142">
        <v>15</v>
      </c>
      <c r="N258" s="83">
        <v>12</v>
      </c>
      <c r="O258" s="84">
        <v>15</v>
      </c>
      <c r="P258" s="45">
        <f t="shared" si="19"/>
        <v>494</v>
      </c>
      <c r="Q258" s="54">
        <f t="shared" si="20"/>
        <v>4.9561918788682631E-4</v>
      </c>
      <c r="S258" s="130"/>
    </row>
    <row r="259" spans="1:19" ht="90.75" hidden="1" thickBot="1" x14ac:dyDescent="0.3">
      <c r="A259" s="40" t="s">
        <v>367</v>
      </c>
      <c r="B259" s="69" t="str">
        <f t="shared" si="18"/>
        <v>INCUMPLIMIENTO DE NORMAS TÉCNICAS Y GUÍAS DE ATENCIÓN DE LAS INTERVENCIONES DE PROTECCIÓN ESPECÍFICA Y DETECCIÓN TEMPRANA-CONTROL DEL EMBARAZO Y ATENCIÓN DEL PARTO</v>
      </c>
      <c r="C259" s="140" t="s">
        <v>891</v>
      </c>
      <c r="D259" s="141">
        <v>45</v>
      </c>
      <c r="E259" s="142">
        <v>55</v>
      </c>
      <c r="F259" s="142">
        <v>68</v>
      </c>
      <c r="G259" s="142">
        <v>44</v>
      </c>
      <c r="H259" s="142">
        <v>47</v>
      </c>
      <c r="I259" s="142">
        <v>36</v>
      </c>
      <c r="J259" s="142">
        <v>36</v>
      </c>
      <c r="K259" s="142">
        <v>41</v>
      </c>
      <c r="L259" s="142">
        <v>41</v>
      </c>
      <c r="M259" s="142">
        <v>28</v>
      </c>
      <c r="N259" s="83">
        <v>25</v>
      </c>
      <c r="O259" s="84">
        <v>25</v>
      </c>
      <c r="P259" s="45">
        <f t="shared" si="19"/>
        <v>491</v>
      </c>
      <c r="Q259" s="54">
        <f t="shared" si="20"/>
        <v>4.926093547620075E-4</v>
      </c>
      <c r="S259" s="130"/>
    </row>
    <row r="260" spans="1:19" ht="90.75" hidden="1" thickBot="1" x14ac:dyDescent="0.3">
      <c r="A260" s="40" t="s">
        <v>429</v>
      </c>
      <c r="B260" s="69" t="str">
        <f t="shared" si="18"/>
        <v>FALTA DE OPORTUNIDAD EN LA AUTORIZACIÓN DE MEDICAMENTOS, SERVICIOS MÉDICOS Y PRESTACIONES DE SALUD NO-POS POR LA DELEGACIÓN AL USUARIO DEL TRÁMITE DE PRESENTACIÓN ANTE EL CTC</v>
      </c>
      <c r="C260" s="140" t="s">
        <v>892</v>
      </c>
      <c r="D260" s="141">
        <v>6</v>
      </c>
      <c r="E260" s="142">
        <v>3</v>
      </c>
      <c r="F260" s="142">
        <v>6</v>
      </c>
      <c r="G260" s="142">
        <v>3</v>
      </c>
      <c r="H260" s="142">
        <v>3</v>
      </c>
      <c r="I260" s="142"/>
      <c r="J260" s="142">
        <v>13</v>
      </c>
      <c r="K260" s="142">
        <v>11</v>
      </c>
      <c r="L260" s="142">
        <v>10</v>
      </c>
      <c r="M260" s="142">
        <v>123</v>
      </c>
      <c r="N260" s="83">
        <v>176</v>
      </c>
      <c r="O260" s="84">
        <v>136</v>
      </c>
      <c r="P260" s="45">
        <f t="shared" si="19"/>
        <v>490</v>
      </c>
      <c r="Q260" s="54">
        <f t="shared" si="20"/>
        <v>4.916060770537346E-4</v>
      </c>
      <c r="S260" s="130"/>
    </row>
    <row r="261" spans="1:19" ht="30.75" hidden="1" thickBot="1" x14ac:dyDescent="0.3">
      <c r="A261" s="40" t="s">
        <v>384</v>
      </c>
      <c r="B261" s="69" t="str">
        <f t="shared" si="18"/>
        <v>DEMORA EN EL RECONOCIMIENTO DE REEMBOLSOS (MEDICAMENTOS)</v>
      </c>
      <c r="C261" s="140" t="s">
        <v>385</v>
      </c>
      <c r="D261" s="141">
        <v>43</v>
      </c>
      <c r="E261" s="142">
        <v>51</v>
      </c>
      <c r="F261" s="142">
        <v>34</v>
      </c>
      <c r="G261" s="142">
        <v>42</v>
      </c>
      <c r="H261" s="142">
        <v>40</v>
      </c>
      <c r="I261" s="142">
        <v>48</v>
      </c>
      <c r="J261" s="142">
        <v>46</v>
      </c>
      <c r="K261" s="142">
        <v>45</v>
      </c>
      <c r="L261" s="142">
        <v>46</v>
      </c>
      <c r="M261" s="142">
        <v>30</v>
      </c>
      <c r="N261" s="83">
        <v>25</v>
      </c>
      <c r="O261" s="84">
        <v>33</v>
      </c>
      <c r="P261" s="45">
        <f t="shared" si="19"/>
        <v>483</v>
      </c>
      <c r="Q261" s="54">
        <f t="shared" si="20"/>
        <v>4.8458313309582404E-4</v>
      </c>
      <c r="S261" s="130"/>
    </row>
    <row r="262" spans="1:19" ht="30.75" hidden="1" thickBot="1" x14ac:dyDescent="0.3">
      <c r="A262" s="40" t="s">
        <v>411</v>
      </c>
      <c r="B262" s="69" t="str">
        <f t="shared" si="18"/>
        <v>NEGACIÓN DE LA AUTORIZACIÓN DE MEDICAMENTOS POS</v>
      </c>
      <c r="C262" s="140" t="s">
        <v>893</v>
      </c>
      <c r="D262" s="141">
        <v>32</v>
      </c>
      <c r="E262" s="142">
        <v>30</v>
      </c>
      <c r="F262" s="142">
        <v>34</v>
      </c>
      <c r="G262" s="142">
        <v>51</v>
      </c>
      <c r="H262" s="142">
        <v>40</v>
      </c>
      <c r="I262" s="142">
        <v>34</v>
      </c>
      <c r="J262" s="142">
        <v>60</v>
      </c>
      <c r="K262" s="142">
        <v>45</v>
      </c>
      <c r="L262" s="142">
        <v>45</v>
      </c>
      <c r="M262" s="142">
        <v>40</v>
      </c>
      <c r="N262" s="83">
        <v>46</v>
      </c>
      <c r="O262" s="84">
        <v>21</v>
      </c>
      <c r="P262" s="45">
        <f t="shared" si="19"/>
        <v>478</v>
      </c>
      <c r="Q262" s="54">
        <f t="shared" si="20"/>
        <v>4.7956674455445944E-4</v>
      </c>
      <c r="S262" s="130"/>
    </row>
    <row r="263" spans="1:19" ht="30.75" hidden="1" thickBot="1" x14ac:dyDescent="0.3">
      <c r="A263" s="40" t="s">
        <v>377</v>
      </c>
      <c r="B263" s="69" t="str">
        <f t="shared" si="18"/>
        <v>NEGACIÓN DE INSUMOS MÉDICOS HOSPITALARIOS</v>
      </c>
      <c r="C263" s="140" t="s">
        <v>894</v>
      </c>
      <c r="D263" s="141">
        <v>37</v>
      </c>
      <c r="E263" s="142">
        <v>25</v>
      </c>
      <c r="F263" s="142">
        <v>44</v>
      </c>
      <c r="G263" s="142">
        <v>39</v>
      </c>
      <c r="H263" s="142">
        <v>48</v>
      </c>
      <c r="I263" s="142">
        <v>40</v>
      </c>
      <c r="J263" s="142">
        <v>41</v>
      </c>
      <c r="K263" s="142">
        <v>41</v>
      </c>
      <c r="L263" s="142">
        <v>36</v>
      </c>
      <c r="M263" s="142">
        <v>32</v>
      </c>
      <c r="N263" s="83">
        <v>37</v>
      </c>
      <c r="O263" s="84">
        <v>58</v>
      </c>
      <c r="P263" s="45">
        <f t="shared" si="19"/>
        <v>478</v>
      </c>
      <c r="Q263" s="54">
        <f t="shared" si="20"/>
        <v>4.7956674455445944E-4</v>
      </c>
      <c r="S263" s="130"/>
    </row>
    <row r="264" spans="1:19" ht="30.75" hidden="1" thickBot="1" x14ac:dyDescent="0.3">
      <c r="A264" s="40" t="s">
        <v>375</v>
      </c>
      <c r="B264" s="69" t="str">
        <f t="shared" si="18"/>
        <v>NEGACIÓN DE INSUMOS MÉDICOS HOSPITALARIOS NO-POS</v>
      </c>
      <c r="C264" s="140" t="s">
        <v>895</v>
      </c>
      <c r="D264" s="141">
        <v>27</v>
      </c>
      <c r="E264" s="142">
        <v>28</v>
      </c>
      <c r="F264" s="142">
        <v>38</v>
      </c>
      <c r="G264" s="142">
        <v>29</v>
      </c>
      <c r="H264" s="142">
        <v>39</v>
      </c>
      <c r="I264" s="142">
        <v>53</v>
      </c>
      <c r="J264" s="142">
        <v>65</v>
      </c>
      <c r="K264" s="142">
        <v>57</v>
      </c>
      <c r="L264" s="142">
        <v>41</v>
      </c>
      <c r="M264" s="142">
        <v>24</v>
      </c>
      <c r="N264" s="83">
        <v>37</v>
      </c>
      <c r="O264" s="84">
        <v>31</v>
      </c>
      <c r="P264" s="45">
        <f t="shared" si="19"/>
        <v>469</v>
      </c>
      <c r="Q264" s="54">
        <f t="shared" si="20"/>
        <v>4.7053724518000307E-4</v>
      </c>
      <c r="S264" s="130"/>
    </row>
    <row r="265" spans="1:19" ht="45.75" hidden="1" thickBot="1" x14ac:dyDescent="0.3">
      <c r="A265" s="40" t="s">
        <v>451</v>
      </c>
      <c r="B265" s="69" t="str">
        <f t="shared" si="18"/>
        <v>FALTA DE DIRECCIONAMIENTO EN LA INFORMACIÓN, E INFORMACIÓN ERRADA SUMINISTRADA</v>
      </c>
      <c r="C265" s="140" t="s">
        <v>896</v>
      </c>
      <c r="D265" s="141">
        <v>67</v>
      </c>
      <c r="E265" s="142">
        <v>81</v>
      </c>
      <c r="F265" s="142">
        <v>65</v>
      </c>
      <c r="G265" s="142">
        <v>52</v>
      </c>
      <c r="H265" s="142">
        <v>33</v>
      </c>
      <c r="I265" s="142">
        <v>30</v>
      </c>
      <c r="J265" s="142">
        <v>14</v>
      </c>
      <c r="K265" s="142">
        <v>17</v>
      </c>
      <c r="L265" s="142">
        <v>15</v>
      </c>
      <c r="M265" s="142">
        <v>28</v>
      </c>
      <c r="N265" s="83">
        <v>25</v>
      </c>
      <c r="O265" s="84">
        <v>29</v>
      </c>
      <c r="P265" s="45">
        <f t="shared" si="19"/>
        <v>456</v>
      </c>
      <c r="Q265" s="54">
        <f t="shared" si="20"/>
        <v>4.5749463497245501E-4</v>
      </c>
      <c r="S265" s="130"/>
    </row>
    <row r="266" spans="1:19" ht="45.75" hidden="1" thickBot="1" x14ac:dyDescent="0.3">
      <c r="A266" s="40" t="s">
        <v>373</v>
      </c>
      <c r="B266" s="69" t="str">
        <f t="shared" si="18"/>
        <v>FALTA DE OPORTUNIDAD DE LOS FALLOS DE LAS JUNTAS CALIFICADORAS PARA INVALIDEZ-RIESGOS PROFESIONALES</v>
      </c>
      <c r="C266" s="140" t="s">
        <v>374</v>
      </c>
      <c r="D266" s="141">
        <v>31</v>
      </c>
      <c r="E266" s="142">
        <v>46</v>
      </c>
      <c r="F266" s="142">
        <v>52</v>
      </c>
      <c r="G266" s="142">
        <v>55</v>
      </c>
      <c r="H266" s="142">
        <v>35</v>
      </c>
      <c r="I266" s="142">
        <v>34</v>
      </c>
      <c r="J266" s="142">
        <v>39</v>
      </c>
      <c r="K266" s="142">
        <v>53</v>
      </c>
      <c r="L266" s="142">
        <v>29</v>
      </c>
      <c r="M266" s="142">
        <v>29</v>
      </c>
      <c r="N266" s="83">
        <v>30</v>
      </c>
      <c r="O266" s="84">
        <v>17</v>
      </c>
      <c r="P266" s="45">
        <f t="shared" si="19"/>
        <v>450</v>
      </c>
      <c r="Q266" s="54">
        <f t="shared" si="20"/>
        <v>4.5147496872281745E-4</v>
      </c>
      <c r="S266" s="130"/>
    </row>
    <row r="267" spans="1:19" ht="30.75" hidden="1" thickBot="1" x14ac:dyDescent="0.3">
      <c r="A267" s="40" t="s">
        <v>392</v>
      </c>
      <c r="B267" s="69" t="str">
        <f t="shared" si="18"/>
        <v>NEGACIÓN DE LA AUTORIZACIÓN DE CIRUGÍA POS</v>
      </c>
      <c r="C267" s="140" t="s">
        <v>897</v>
      </c>
      <c r="D267" s="141">
        <v>25</v>
      </c>
      <c r="E267" s="142">
        <v>39</v>
      </c>
      <c r="F267" s="142">
        <v>39</v>
      </c>
      <c r="G267" s="142">
        <v>27</v>
      </c>
      <c r="H267" s="142">
        <v>29</v>
      </c>
      <c r="I267" s="142">
        <v>26</v>
      </c>
      <c r="J267" s="142">
        <v>33</v>
      </c>
      <c r="K267" s="142">
        <v>54</v>
      </c>
      <c r="L267" s="142">
        <v>39</v>
      </c>
      <c r="M267" s="142">
        <v>39</v>
      </c>
      <c r="N267" s="83">
        <v>43</v>
      </c>
      <c r="O267" s="84">
        <v>34</v>
      </c>
      <c r="P267" s="45">
        <f t="shared" si="19"/>
        <v>427</v>
      </c>
      <c r="Q267" s="54">
        <f t="shared" si="20"/>
        <v>4.2839958143254012E-4</v>
      </c>
      <c r="S267" s="130"/>
    </row>
    <row r="268" spans="1:19" ht="15.75" hidden="1" thickBot="1" x14ac:dyDescent="0.3">
      <c r="A268" s="40" t="s">
        <v>391</v>
      </c>
      <c r="B268" s="69" t="str">
        <f t="shared" si="18"/>
        <v>RECURSO HUMANO NO IDÓNEO</v>
      </c>
      <c r="C268" s="140" t="s">
        <v>898</v>
      </c>
      <c r="D268" s="141">
        <v>42</v>
      </c>
      <c r="E268" s="142">
        <v>27</v>
      </c>
      <c r="F268" s="142">
        <v>34</v>
      </c>
      <c r="G268" s="142">
        <v>38</v>
      </c>
      <c r="H268" s="142">
        <v>38</v>
      </c>
      <c r="I268" s="142">
        <v>40</v>
      </c>
      <c r="J268" s="142">
        <v>40</v>
      </c>
      <c r="K268" s="142">
        <v>30</v>
      </c>
      <c r="L268" s="142">
        <v>32</v>
      </c>
      <c r="M268" s="142">
        <v>31</v>
      </c>
      <c r="N268" s="83">
        <v>32</v>
      </c>
      <c r="O268" s="84">
        <v>28</v>
      </c>
      <c r="P268" s="45">
        <f t="shared" si="19"/>
        <v>412</v>
      </c>
      <c r="Q268" s="54">
        <f t="shared" si="20"/>
        <v>4.1335041580844621E-4</v>
      </c>
      <c r="S268" s="130"/>
    </row>
    <row r="269" spans="1:19" ht="30.75" hidden="1" thickBot="1" x14ac:dyDescent="0.3">
      <c r="A269" s="40" t="s">
        <v>395</v>
      </c>
      <c r="B269" s="69" t="str">
        <f t="shared" si="18"/>
        <v>FALTA DE PUNTOS DE ATENCIÓN CERCANOS</v>
      </c>
      <c r="C269" s="140" t="s">
        <v>899</v>
      </c>
      <c r="D269" s="141">
        <v>35</v>
      </c>
      <c r="E269" s="142">
        <v>32</v>
      </c>
      <c r="F269" s="142">
        <v>35</v>
      </c>
      <c r="G269" s="142">
        <v>21</v>
      </c>
      <c r="H269" s="142">
        <v>16</v>
      </c>
      <c r="I269" s="142">
        <v>29</v>
      </c>
      <c r="J269" s="142">
        <v>32</v>
      </c>
      <c r="K269" s="142">
        <v>39</v>
      </c>
      <c r="L269" s="142">
        <v>73</v>
      </c>
      <c r="M269" s="142">
        <v>47</v>
      </c>
      <c r="N269" s="83">
        <v>28</v>
      </c>
      <c r="O269" s="84">
        <v>20</v>
      </c>
      <c r="P269" s="45">
        <f t="shared" si="19"/>
        <v>407</v>
      </c>
      <c r="Q269" s="54">
        <f t="shared" si="20"/>
        <v>4.0833402726708155E-4</v>
      </c>
      <c r="S269" s="130"/>
    </row>
    <row r="270" spans="1:19" ht="15.75" hidden="1" thickBot="1" x14ac:dyDescent="0.3">
      <c r="A270" s="40" t="s">
        <v>449</v>
      </c>
      <c r="B270" s="69" t="str">
        <f t="shared" si="18"/>
        <v>MATERNO INFANTIL</v>
      </c>
      <c r="C270" s="140" t="s">
        <v>450</v>
      </c>
      <c r="D270" s="141">
        <v>44</v>
      </c>
      <c r="E270" s="142">
        <v>40</v>
      </c>
      <c r="F270" s="142">
        <v>49</v>
      </c>
      <c r="G270" s="142">
        <v>40</v>
      </c>
      <c r="H270" s="142">
        <v>60</v>
      </c>
      <c r="I270" s="142">
        <v>39</v>
      </c>
      <c r="J270" s="142">
        <v>25</v>
      </c>
      <c r="K270" s="142">
        <v>32</v>
      </c>
      <c r="L270" s="142">
        <v>20</v>
      </c>
      <c r="M270" s="142">
        <v>18</v>
      </c>
      <c r="N270" s="83">
        <v>22</v>
      </c>
      <c r="O270" s="84">
        <v>15</v>
      </c>
      <c r="P270" s="45">
        <f t="shared" si="19"/>
        <v>404</v>
      </c>
      <c r="Q270" s="54">
        <f t="shared" si="20"/>
        <v>4.053241941422628E-4</v>
      </c>
      <c r="S270" s="130"/>
    </row>
    <row r="271" spans="1:19" ht="30.75" hidden="1" thickBot="1" x14ac:dyDescent="0.3">
      <c r="A271" s="40" t="s">
        <v>441</v>
      </c>
      <c r="B271" s="69" t="str">
        <f t="shared" si="18"/>
        <v>MALA O DEFICIENTE INFORMACIÓN SOBRE LOS SERVICIOS</v>
      </c>
      <c r="C271" s="140" t="s">
        <v>900</v>
      </c>
      <c r="D271" s="141">
        <v>50</v>
      </c>
      <c r="E271" s="142">
        <v>49</v>
      </c>
      <c r="F271" s="142">
        <v>40</v>
      </c>
      <c r="G271" s="142">
        <v>35</v>
      </c>
      <c r="H271" s="142">
        <v>40</v>
      </c>
      <c r="I271" s="142">
        <v>31</v>
      </c>
      <c r="J271" s="142">
        <v>27</v>
      </c>
      <c r="K271" s="142">
        <v>42</v>
      </c>
      <c r="L271" s="142">
        <v>28</v>
      </c>
      <c r="M271" s="142">
        <v>22</v>
      </c>
      <c r="N271" s="83">
        <v>15</v>
      </c>
      <c r="O271" s="84">
        <v>23</v>
      </c>
      <c r="P271" s="45">
        <f t="shared" si="19"/>
        <v>402</v>
      </c>
      <c r="Q271" s="54">
        <f t="shared" si="20"/>
        <v>4.0331763872571689E-4</v>
      </c>
      <c r="S271" s="130"/>
    </row>
    <row r="272" spans="1:19" ht="45.75" hidden="1" thickBot="1" x14ac:dyDescent="0.3">
      <c r="A272" s="40" t="s">
        <v>448</v>
      </c>
      <c r="B272" s="69" t="str">
        <f t="shared" si="18"/>
        <v>INCONSISTENCIA EN EL COBRO DE COPAGO EN EL RÉGIMEN SUBSIDIADO SEGÚN NIVEL</v>
      </c>
      <c r="C272" s="140" t="s">
        <v>901</v>
      </c>
      <c r="D272" s="141">
        <v>29</v>
      </c>
      <c r="E272" s="142">
        <v>36</v>
      </c>
      <c r="F272" s="142">
        <v>33</v>
      </c>
      <c r="G272" s="142">
        <v>25</v>
      </c>
      <c r="H272" s="142">
        <v>21</v>
      </c>
      <c r="I272" s="142">
        <v>40</v>
      </c>
      <c r="J272" s="142">
        <v>52</v>
      </c>
      <c r="K272" s="142">
        <v>36</v>
      </c>
      <c r="L272" s="142">
        <v>41</v>
      </c>
      <c r="M272" s="142">
        <v>26</v>
      </c>
      <c r="N272" s="83">
        <v>27</v>
      </c>
      <c r="O272" s="84">
        <v>32</v>
      </c>
      <c r="P272" s="45">
        <f t="shared" si="19"/>
        <v>398</v>
      </c>
      <c r="Q272" s="54">
        <f t="shared" si="20"/>
        <v>3.9930452789262519E-4</v>
      </c>
      <c r="S272" s="130"/>
    </row>
    <row r="273" spans="1:19" ht="45.75" hidden="1" thickBot="1" x14ac:dyDescent="0.3">
      <c r="A273" s="40" t="s">
        <v>369</v>
      </c>
      <c r="B273" s="69" t="str">
        <f t="shared" si="18"/>
        <v>FALLAS EN LA DISPONIBILIDAD DE TRANSPORTE PARA LA REFERENCIA Y CONTRARREFERENCIA DE PACIENTES</v>
      </c>
      <c r="C273" s="140" t="s">
        <v>370</v>
      </c>
      <c r="D273" s="141">
        <v>23</v>
      </c>
      <c r="E273" s="142">
        <v>24</v>
      </c>
      <c r="F273" s="142">
        <v>32</v>
      </c>
      <c r="G273" s="142">
        <v>34</v>
      </c>
      <c r="H273" s="142">
        <v>24</v>
      </c>
      <c r="I273" s="142">
        <v>28</v>
      </c>
      <c r="J273" s="142">
        <v>37</v>
      </c>
      <c r="K273" s="142">
        <v>46</v>
      </c>
      <c r="L273" s="142">
        <v>45</v>
      </c>
      <c r="M273" s="142">
        <v>22</v>
      </c>
      <c r="N273" s="83">
        <v>32</v>
      </c>
      <c r="O273" s="84">
        <v>34</v>
      </c>
      <c r="P273" s="45">
        <f t="shared" si="19"/>
        <v>381</v>
      </c>
      <c r="Q273" s="54">
        <f t="shared" si="20"/>
        <v>3.8224880685198541E-4</v>
      </c>
      <c r="S273" s="130"/>
    </row>
    <row r="274" spans="1:19" ht="30.75" hidden="1" thickBot="1" x14ac:dyDescent="0.3">
      <c r="A274" s="40" t="s">
        <v>468</v>
      </c>
      <c r="B274" s="69" t="str">
        <f t="shared" si="18"/>
        <v>NEGACIÓN DE LA CONSULTA MÉDICA ESPECIALIZADA DE MEDICINA INTERNA</v>
      </c>
      <c r="C274" s="140" t="s">
        <v>902</v>
      </c>
      <c r="D274" s="141">
        <v>21</v>
      </c>
      <c r="E274" s="142">
        <v>31</v>
      </c>
      <c r="F274" s="142">
        <v>26</v>
      </c>
      <c r="G274" s="142">
        <v>38</v>
      </c>
      <c r="H274" s="142">
        <v>41</v>
      </c>
      <c r="I274" s="142">
        <v>36</v>
      </c>
      <c r="J274" s="142">
        <v>44</v>
      </c>
      <c r="K274" s="142">
        <v>31</v>
      </c>
      <c r="L274" s="142">
        <v>34</v>
      </c>
      <c r="M274" s="142">
        <v>25</v>
      </c>
      <c r="N274" s="83">
        <v>25</v>
      </c>
      <c r="O274" s="84">
        <v>13</v>
      </c>
      <c r="P274" s="45">
        <f t="shared" si="19"/>
        <v>365</v>
      </c>
      <c r="Q274" s="54">
        <f t="shared" si="20"/>
        <v>3.661963635196186E-4</v>
      </c>
      <c r="S274" s="130"/>
    </row>
    <row r="275" spans="1:19" ht="15.75" hidden="1" thickBot="1" x14ac:dyDescent="0.3">
      <c r="A275" s="40" t="s">
        <v>407</v>
      </c>
      <c r="B275" s="69" t="str">
        <f t="shared" si="18"/>
        <v>FALTA DE RED DE FARMACIAS</v>
      </c>
      <c r="C275" s="140" t="s">
        <v>408</v>
      </c>
      <c r="D275" s="141">
        <v>18</v>
      </c>
      <c r="E275" s="142">
        <v>17</v>
      </c>
      <c r="F275" s="142">
        <v>17</v>
      </c>
      <c r="G275" s="142">
        <v>63</v>
      </c>
      <c r="H275" s="142">
        <v>27</v>
      </c>
      <c r="I275" s="142">
        <v>19</v>
      </c>
      <c r="J275" s="142">
        <v>19</v>
      </c>
      <c r="K275" s="142">
        <v>35</v>
      </c>
      <c r="L275" s="142">
        <v>32</v>
      </c>
      <c r="M275" s="142">
        <v>27</v>
      </c>
      <c r="N275" s="83">
        <v>36</v>
      </c>
      <c r="O275" s="84">
        <v>44</v>
      </c>
      <c r="P275" s="45">
        <f t="shared" si="19"/>
        <v>354</v>
      </c>
      <c r="Q275" s="54">
        <f t="shared" si="20"/>
        <v>3.5516030872861638E-4</v>
      </c>
      <c r="S275" s="130"/>
    </row>
    <row r="276" spans="1:19" ht="15.75" hidden="1" thickBot="1" x14ac:dyDescent="0.3">
      <c r="A276" s="40" t="s">
        <v>426</v>
      </c>
      <c r="B276" s="69" t="str">
        <f t="shared" si="18"/>
        <v>VIH SIDA Y OTRAS ET SEXUAL</v>
      </c>
      <c r="C276" s="140" t="s">
        <v>427</v>
      </c>
      <c r="D276" s="141">
        <v>43</v>
      </c>
      <c r="E276" s="142">
        <v>39</v>
      </c>
      <c r="F276" s="142">
        <v>43</v>
      </c>
      <c r="G276" s="142">
        <v>36</v>
      </c>
      <c r="H276" s="142">
        <v>57</v>
      </c>
      <c r="I276" s="142">
        <v>34</v>
      </c>
      <c r="J276" s="142">
        <v>29</v>
      </c>
      <c r="K276" s="142">
        <v>33</v>
      </c>
      <c r="L276" s="142">
        <v>19</v>
      </c>
      <c r="M276" s="142">
        <v>5</v>
      </c>
      <c r="N276" s="83">
        <v>7</v>
      </c>
      <c r="O276" s="84">
        <v>7</v>
      </c>
      <c r="P276" s="45">
        <f t="shared" si="19"/>
        <v>352</v>
      </c>
      <c r="Q276" s="54">
        <f t="shared" si="20"/>
        <v>3.5315375331207053E-4</v>
      </c>
      <c r="S276" s="130"/>
    </row>
    <row r="277" spans="1:19" ht="30.75" hidden="1" thickBot="1" x14ac:dyDescent="0.3">
      <c r="A277" s="40" t="s">
        <v>389</v>
      </c>
      <c r="B277" s="69" t="str">
        <f t="shared" si="18"/>
        <v>ENFERMEDADES CRÓNICAS NO TRANSMISIBLES DIABETES</v>
      </c>
      <c r="C277" s="140" t="s">
        <v>903</v>
      </c>
      <c r="D277" s="141">
        <v>40</v>
      </c>
      <c r="E277" s="142">
        <v>40</v>
      </c>
      <c r="F277" s="142">
        <v>61</v>
      </c>
      <c r="G277" s="142">
        <v>45</v>
      </c>
      <c r="H277" s="142">
        <v>55</v>
      </c>
      <c r="I277" s="142">
        <v>38</v>
      </c>
      <c r="J277" s="142">
        <v>19</v>
      </c>
      <c r="K277" s="142">
        <v>14</v>
      </c>
      <c r="L277" s="142">
        <v>8</v>
      </c>
      <c r="M277" s="142">
        <v>1</v>
      </c>
      <c r="N277" s="83">
        <v>5</v>
      </c>
      <c r="O277" s="84"/>
      <c r="P277" s="45">
        <f t="shared" si="19"/>
        <v>326</v>
      </c>
      <c r="Q277" s="54">
        <f t="shared" si="20"/>
        <v>3.270685328969744E-4</v>
      </c>
      <c r="S277" s="130"/>
    </row>
    <row r="278" spans="1:19" ht="60.75" hidden="1" thickBot="1" x14ac:dyDescent="0.3">
      <c r="A278" s="40" t="s">
        <v>386</v>
      </c>
      <c r="B278" s="69" t="str">
        <f t="shared" si="18"/>
        <v>NO RECONOCIMIENTO Y PAGO DE LAS PRESTACIONES ECONÓMICAS DERIVADAS INCAPACIDAD DE ACCIDENTE DE TRANSITO</v>
      </c>
      <c r="C278" s="140" t="s">
        <v>904</v>
      </c>
      <c r="D278" s="141">
        <v>16</v>
      </c>
      <c r="E278" s="142">
        <v>26</v>
      </c>
      <c r="F278" s="142">
        <v>33</v>
      </c>
      <c r="G278" s="142">
        <v>23</v>
      </c>
      <c r="H278" s="142">
        <v>21</v>
      </c>
      <c r="I278" s="142">
        <v>24</v>
      </c>
      <c r="J278" s="142">
        <v>31</v>
      </c>
      <c r="K278" s="142">
        <v>31</v>
      </c>
      <c r="L278" s="142">
        <v>29</v>
      </c>
      <c r="M278" s="142">
        <v>26</v>
      </c>
      <c r="N278" s="83">
        <v>26</v>
      </c>
      <c r="O278" s="84">
        <v>39</v>
      </c>
      <c r="P278" s="45">
        <f t="shared" si="19"/>
        <v>325</v>
      </c>
      <c r="Q278" s="54">
        <f t="shared" si="20"/>
        <v>3.260652551887015E-4</v>
      </c>
      <c r="S278" s="130"/>
    </row>
    <row r="279" spans="1:19" ht="60.75" hidden="1" thickBot="1" x14ac:dyDescent="0.3">
      <c r="A279" s="40" t="s">
        <v>366</v>
      </c>
      <c r="B279" s="69" t="str">
        <f t="shared" si="18"/>
        <v>FALTA DE CONTRATACIÓN PARA LA PRESTACIÓN OPORTUNA Y CONTINUA DE PROCEDIMIENTOS Y/O SERVICIOS DE ALTO COSTO</v>
      </c>
      <c r="C279" s="140" t="s">
        <v>905</v>
      </c>
      <c r="D279" s="141">
        <v>38</v>
      </c>
      <c r="E279" s="142">
        <v>18</v>
      </c>
      <c r="F279" s="142">
        <v>31</v>
      </c>
      <c r="G279" s="142">
        <v>29</v>
      </c>
      <c r="H279" s="142">
        <v>11</v>
      </c>
      <c r="I279" s="142">
        <v>28</v>
      </c>
      <c r="J279" s="142">
        <v>41</v>
      </c>
      <c r="K279" s="142">
        <v>30</v>
      </c>
      <c r="L279" s="142">
        <v>32</v>
      </c>
      <c r="M279" s="142">
        <v>19</v>
      </c>
      <c r="N279" s="83">
        <v>33</v>
      </c>
      <c r="O279" s="84">
        <v>11</v>
      </c>
      <c r="P279" s="45">
        <f t="shared" si="19"/>
        <v>321</v>
      </c>
      <c r="Q279" s="54">
        <f t="shared" si="20"/>
        <v>3.2205214435560979E-4</v>
      </c>
      <c r="S279" s="130"/>
    </row>
    <row r="280" spans="1:19" ht="45.75" hidden="1" thickBot="1" x14ac:dyDescent="0.3">
      <c r="A280" s="40" t="s">
        <v>422</v>
      </c>
      <c r="B280" s="69" t="str">
        <f t="shared" ref="B280:B343" si="21">+C280</f>
        <v>NEGACIÓN SERVICIOS DE APOYO TERAPÉUTICO (TERAPIAS FÍSICAS, RESPIRATORIAS, OCUPACIONALES ETC.)</v>
      </c>
      <c r="C280" s="140" t="s">
        <v>906</v>
      </c>
      <c r="D280" s="141">
        <v>16</v>
      </c>
      <c r="E280" s="142">
        <v>18</v>
      </c>
      <c r="F280" s="142">
        <v>26</v>
      </c>
      <c r="G280" s="142">
        <v>32</v>
      </c>
      <c r="H280" s="142">
        <v>13</v>
      </c>
      <c r="I280" s="142">
        <v>16</v>
      </c>
      <c r="J280" s="142">
        <v>36</v>
      </c>
      <c r="K280" s="142">
        <v>38</v>
      </c>
      <c r="L280" s="142">
        <v>36</v>
      </c>
      <c r="M280" s="142">
        <v>24</v>
      </c>
      <c r="N280" s="83">
        <v>25</v>
      </c>
      <c r="O280" s="84">
        <v>31</v>
      </c>
      <c r="P280" s="45">
        <f t="shared" ref="P280:P343" si="22">SUM(D280:O280)</f>
        <v>311</v>
      </c>
      <c r="Q280" s="54">
        <f t="shared" ref="Q280:Q343" si="23">+P280/$P$445</f>
        <v>3.1201936727288048E-4</v>
      </c>
      <c r="S280" s="130"/>
    </row>
    <row r="281" spans="1:19" ht="30.75" hidden="1" thickBot="1" x14ac:dyDescent="0.3">
      <c r="A281" s="40" t="s">
        <v>409</v>
      </c>
      <c r="B281" s="69" t="str">
        <f t="shared" si="21"/>
        <v>DEMORA EN EL RECONOCIMIENTO DE REEMBOLSOS (INSUMOS)</v>
      </c>
      <c r="C281" s="140" t="s">
        <v>410</v>
      </c>
      <c r="D281" s="141">
        <v>27</v>
      </c>
      <c r="E281" s="142">
        <v>22</v>
      </c>
      <c r="F281" s="142">
        <v>29</v>
      </c>
      <c r="G281" s="142">
        <v>21</v>
      </c>
      <c r="H281" s="142">
        <v>21</v>
      </c>
      <c r="I281" s="142">
        <v>26</v>
      </c>
      <c r="J281" s="142">
        <v>34</v>
      </c>
      <c r="K281" s="142">
        <v>31</v>
      </c>
      <c r="L281" s="142">
        <v>36</v>
      </c>
      <c r="M281" s="142">
        <v>20</v>
      </c>
      <c r="N281" s="83">
        <v>17</v>
      </c>
      <c r="O281" s="84">
        <v>23</v>
      </c>
      <c r="P281" s="45">
        <f t="shared" si="22"/>
        <v>307</v>
      </c>
      <c r="Q281" s="54">
        <f t="shared" si="23"/>
        <v>3.0800625643978877E-4</v>
      </c>
      <c r="S281" s="130"/>
    </row>
    <row r="282" spans="1:19" ht="30.75" hidden="1" thickBot="1" x14ac:dyDescent="0.3">
      <c r="A282" s="40" t="s">
        <v>460</v>
      </c>
      <c r="B282" s="69" t="str">
        <f t="shared" si="21"/>
        <v>COMPETENCIA DESLEAL POR PARTE DE LAS EPS</v>
      </c>
      <c r="C282" s="140" t="s">
        <v>461</v>
      </c>
      <c r="D282" s="141">
        <v>32</v>
      </c>
      <c r="E282" s="142">
        <v>25</v>
      </c>
      <c r="F282" s="142">
        <v>38</v>
      </c>
      <c r="G282" s="142">
        <v>35</v>
      </c>
      <c r="H282" s="142">
        <v>48</v>
      </c>
      <c r="I282" s="142">
        <v>30</v>
      </c>
      <c r="J282" s="142">
        <v>14</v>
      </c>
      <c r="K282" s="142">
        <v>17</v>
      </c>
      <c r="L282" s="142">
        <v>20</v>
      </c>
      <c r="M282" s="142">
        <v>12</v>
      </c>
      <c r="N282" s="83">
        <v>21</v>
      </c>
      <c r="O282" s="84">
        <v>11</v>
      </c>
      <c r="P282" s="45">
        <f t="shared" si="22"/>
        <v>303</v>
      </c>
      <c r="Q282" s="54">
        <f t="shared" si="23"/>
        <v>3.0399314560669707E-4</v>
      </c>
      <c r="S282" s="130"/>
    </row>
    <row r="283" spans="1:19" ht="30.75" hidden="1" thickBot="1" x14ac:dyDescent="0.3">
      <c r="A283" s="40" t="s">
        <v>430</v>
      </c>
      <c r="B283" s="69" t="str">
        <f t="shared" si="21"/>
        <v>NEGACIÓN DE LA AUTORIZACIÓN DE INSUMOS POS</v>
      </c>
      <c r="C283" s="140" t="s">
        <v>907</v>
      </c>
      <c r="D283" s="141">
        <v>22</v>
      </c>
      <c r="E283" s="142">
        <v>23</v>
      </c>
      <c r="F283" s="142">
        <v>24</v>
      </c>
      <c r="G283" s="142">
        <v>19</v>
      </c>
      <c r="H283" s="142">
        <v>28</v>
      </c>
      <c r="I283" s="142">
        <v>22</v>
      </c>
      <c r="J283" s="142">
        <v>32</v>
      </c>
      <c r="K283" s="142">
        <v>36</v>
      </c>
      <c r="L283" s="142">
        <v>30</v>
      </c>
      <c r="M283" s="142">
        <v>23</v>
      </c>
      <c r="N283" s="83">
        <v>22</v>
      </c>
      <c r="O283" s="84">
        <v>22</v>
      </c>
      <c r="P283" s="45">
        <f t="shared" si="22"/>
        <v>303</v>
      </c>
      <c r="Q283" s="54">
        <f t="shared" si="23"/>
        <v>3.0399314560669707E-4</v>
      </c>
      <c r="S283" s="130"/>
    </row>
    <row r="284" spans="1:19" ht="15.75" hidden="1" thickBot="1" x14ac:dyDescent="0.3">
      <c r="A284" s="40" t="s">
        <v>483</v>
      </c>
      <c r="B284" s="69" t="str">
        <f t="shared" si="21"/>
        <v>SALUD ORAL</v>
      </c>
      <c r="C284" s="140" t="s">
        <v>484</v>
      </c>
      <c r="D284" s="141">
        <v>17</v>
      </c>
      <c r="E284" s="142">
        <v>21</v>
      </c>
      <c r="F284" s="142">
        <v>37</v>
      </c>
      <c r="G284" s="142">
        <v>34</v>
      </c>
      <c r="H284" s="142">
        <v>19</v>
      </c>
      <c r="I284" s="142">
        <v>25</v>
      </c>
      <c r="J284" s="142">
        <v>23</v>
      </c>
      <c r="K284" s="142">
        <v>23</v>
      </c>
      <c r="L284" s="142">
        <v>44</v>
      </c>
      <c r="M284" s="142">
        <v>14</v>
      </c>
      <c r="N284" s="83">
        <v>16</v>
      </c>
      <c r="O284" s="84">
        <v>23</v>
      </c>
      <c r="P284" s="45">
        <f t="shared" si="22"/>
        <v>296</v>
      </c>
      <c r="Q284" s="54">
        <f t="shared" si="23"/>
        <v>2.9697020164878656E-4</v>
      </c>
      <c r="S284" s="130"/>
    </row>
    <row r="285" spans="1:19" ht="30.75" hidden="1" thickBot="1" x14ac:dyDescent="0.3">
      <c r="A285" s="40" t="s">
        <v>485</v>
      </c>
      <c r="B285" s="69" t="str">
        <f t="shared" si="21"/>
        <v>FALTA DE OPORTUNIDAD EN CUIDADO INTERMEDIO</v>
      </c>
      <c r="C285" s="140" t="s">
        <v>486</v>
      </c>
      <c r="D285" s="141">
        <v>6</v>
      </c>
      <c r="E285" s="142">
        <v>6</v>
      </c>
      <c r="F285" s="142">
        <v>12</v>
      </c>
      <c r="G285" s="142">
        <v>14</v>
      </c>
      <c r="H285" s="142">
        <v>9</v>
      </c>
      <c r="I285" s="142">
        <v>9</v>
      </c>
      <c r="J285" s="142">
        <v>60</v>
      </c>
      <c r="K285" s="142">
        <v>36</v>
      </c>
      <c r="L285" s="142">
        <v>20</v>
      </c>
      <c r="M285" s="142">
        <v>41</v>
      </c>
      <c r="N285" s="83">
        <v>40</v>
      </c>
      <c r="O285" s="84">
        <v>34</v>
      </c>
      <c r="P285" s="45">
        <f t="shared" si="22"/>
        <v>287</v>
      </c>
      <c r="Q285" s="54">
        <f t="shared" si="23"/>
        <v>2.8794070227433025E-4</v>
      </c>
      <c r="S285" s="130"/>
    </row>
    <row r="286" spans="1:19" ht="45.75" hidden="1" thickBot="1" x14ac:dyDescent="0.3">
      <c r="A286" s="40" t="s">
        <v>398</v>
      </c>
      <c r="B286" s="69" t="str">
        <f t="shared" si="21"/>
        <v>DEMORA DE LA AUTORIZACIÓN DE SERVICIOS DE ALTO COSTO PARA: ENFERMEDAD RENAL</v>
      </c>
      <c r="C286" s="140" t="s">
        <v>908</v>
      </c>
      <c r="D286" s="141">
        <v>33</v>
      </c>
      <c r="E286" s="142">
        <v>36</v>
      </c>
      <c r="F286" s="142">
        <v>32</v>
      </c>
      <c r="G286" s="142">
        <v>24</v>
      </c>
      <c r="H286" s="142">
        <v>21</v>
      </c>
      <c r="I286" s="142">
        <v>34</v>
      </c>
      <c r="J286" s="142">
        <v>26</v>
      </c>
      <c r="K286" s="142">
        <v>38</v>
      </c>
      <c r="L286" s="142">
        <v>8</v>
      </c>
      <c r="M286" s="142">
        <v>8</v>
      </c>
      <c r="N286" s="83">
        <v>9</v>
      </c>
      <c r="O286" s="84">
        <v>12</v>
      </c>
      <c r="P286" s="45">
        <f t="shared" si="22"/>
        <v>281</v>
      </c>
      <c r="Q286" s="54">
        <f t="shared" si="23"/>
        <v>2.819210360246927E-4</v>
      </c>
      <c r="S286" s="130"/>
    </row>
    <row r="287" spans="1:19" ht="45.75" hidden="1" thickBot="1" x14ac:dyDescent="0.3">
      <c r="A287" s="40" t="s">
        <v>406</v>
      </c>
      <c r="B287" s="69" t="str">
        <f t="shared" si="21"/>
        <v>DEMORA DE LA AUTORIZACIÓN DE MEDICAMENTOS NO-POS PARA ENFERMEDADES RARAS O HUÉRFANAS</v>
      </c>
      <c r="C287" s="140" t="s">
        <v>909</v>
      </c>
      <c r="D287" s="141">
        <v>41</v>
      </c>
      <c r="E287" s="142">
        <v>27</v>
      </c>
      <c r="F287" s="142">
        <v>43</v>
      </c>
      <c r="G287" s="142">
        <v>33</v>
      </c>
      <c r="H287" s="142">
        <v>24</v>
      </c>
      <c r="I287" s="142">
        <v>32</v>
      </c>
      <c r="J287" s="142">
        <v>20</v>
      </c>
      <c r="K287" s="142">
        <v>16</v>
      </c>
      <c r="L287" s="142">
        <v>16</v>
      </c>
      <c r="M287" s="142">
        <v>8</v>
      </c>
      <c r="N287" s="83">
        <v>13</v>
      </c>
      <c r="O287" s="84">
        <v>7</v>
      </c>
      <c r="P287" s="45">
        <f t="shared" si="22"/>
        <v>280</v>
      </c>
      <c r="Q287" s="54">
        <f t="shared" si="23"/>
        <v>2.8091775831641974E-4</v>
      </c>
      <c r="S287" s="130"/>
    </row>
    <row r="288" spans="1:19" ht="30.75" hidden="1" thickBot="1" x14ac:dyDescent="0.3">
      <c r="A288" s="40" t="s">
        <v>400</v>
      </c>
      <c r="B288" s="69" t="str">
        <f t="shared" si="21"/>
        <v>ENFERMEDADES CRÓNICAS NO TRASMISIBLES CARDIOVASCULARES</v>
      </c>
      <c r="C288" s="140" t="s">
        <v>910</v>
      </c>
      <c r="D288" s="141">
        <v>39</v>
      </c>
      <c r="E288" s="142">
        <v>52</v>
      </c>
      <c r="F288" s="142">
        <v>41</v>
      </c>
      <c r="G288" s="142">
        <v>33</v>
      </c>
      <c r="H288" s="142">
        <v>51</v>
      </c>
      <c r="I288" s="142">
        <v>16</v>
      </c>
      <c r="J288" s="142">
        <v>15</v>
      </c>
      <c r="K288" s="142">
        <v>7</v>
      </c>
      <c r="L288" s="142">
        <v>13</v>
      </c>
      <c r="M288" s="142">
        <v>6</v>
      </c>
      <c r="N288" s="83">
        <v>2</v>
      </c>
      <c r="O288" s="84">
        <v>3</v>
      </c>
      <c r="P288" s="45">
        <f t="shared" si="22"/>
        <v>278</v>
      </c>
      <c r="Q288" s="54">
        <f t="shared" si="23"/>
        <v>2.7891120289987389E-4</v>
      </c>
      <c r="S288" s="130"/>
    </row>
    <row r="289" spans="1:19" ht="30.75" hidden="1" thickBot="1" x14ac:dyDescent="0.3">
      <c r="A289" s="40" t="s">
        <v>419</v>
      </c>
      <c r="B289" s="69" t="str">
        <f t="shared" si="21"/>
        <v>RESTRICCIÓN EN LA LIBRE ESCOGENCIA DE IPS PARA CIRUGÍA</v>
      </c>
      <c r="C289" s="140" t="s">
        <v>911</v>
      </c>
      <c r="D289" s="141">
        <v>5</v>
      </c>
      <c r="E289" s="142">
        <v>20</v>
      </c>
      <c r="F289" s="142">
        <v>24</v>
      </c>
      <c r="G289" s="142">
        <v>24</v>
      </c>
      <c r="H289" s="142">
        <v>17</v>
      </c>
      <c r="I289" s="142">
        <v>14</v>
      </c>
      <c r="J289" s="142">
        <v>38</v>
      </c>
      <c r="K289" s="142">
        <v>31</v>
      </c>
      <c r="L289" s="142">
        <v>27</v>
      </c>
      <c r="M289" s="142">
        <v>22</v>
      </c>
      <c r="N289" s="83">
        <v>29</v>
      </c>
      <c r="O289" s="84">
        <v>26</v>
      </c>
      <c r="P289" s="45">
        <f t="shared" si="22"/>
        <v>277</v>
      </c>
      <c r="Q289" s="54">
        <f t="shared" si="23"/>
        <v>2.7790792519160094E-4</v>
      </c>
      <c r="S289" s="130"/>
    </row>
    <row r="290" spans="1:19" ht="15.75" hidden="1" thickBot="1" x14ac:dyDescent="0.3">
      <c r="A290" s="40" t="s">
        <v>439</v>
      </c>
      <c r="B290" s="69" t="str">
        <f t="shared" si="21"/>
        <v>ENFERMEDADES HUÉRFANAS</v>
      </c>
      <c r="C290" s="140" t="s">
        <v>912</v>
      </c>
      <c r="D290" s="141">
        <v>22</v>
      </c>
      <c r="E290" s="142">
        <v>42</v>
      </c>
      <c r="F290" s="142">
        <v>47</v>
      </c>
      <c r="G290" s="142">
        <v>31</v>
      </c>
      <c r="H290" s="142">
        <v>44</v>
      </c>
      <c r="I290" s="142">
        <v>32</v>
      </c>
      <c r="J290" s="142">
        <v>20</v>
      </c>
      <c r="K290" s="142">
        <v>16</v>
      </c>
      <c r="L290" s="142">
        <v>13</v>
      </c>
      <c r="M290" s="142">
        <v>5</v>
      </c>
      <c r="N290" s="83">
        <v>2</v>
      </c>
      <c r="O290" s="84">
        <v>1</v>
      </c>
      <c r="P290" s="45">
        <f t="shared" si="22"/>
        <v>275</v>
      </c>
      <c r="Q290" s="54">
        <f t="shared" si="23"/>
        <v>2.7590136977505509E-4</v>
      </c>
      <c r="S290" s="130"/>
    </row>
    <row r="291" spans="1:19" ht="15.75" hidden="1" thickBot="1" x14ac:dyDescent="0.3">
      <c r="A291" s="40" t="s">
        <v>401</v>
      </c>
      <c r="B291" s="69" t="str">
        <f t="shared" si="21"/>
        <v>FALTA DISPONIBILIDAD EN CAMAS</v>
      </c>
      <c r="C291" s="140" t="s">
        <v>402</v>
      </c>
      <c r="D291" s="141">
        <v>18</v>
      </c>
      <c r="E291" s="142">
        <v>19</v>
      </c>
      <c r="F291" s="142">
        <v>17</v>
      </c>
      <c r="G291" s="142">
        <v>19</v>
      </c>
      <c r="H291" s="142">
        <v>27</v>
      </c>
      <c r="I291" s="142">
        <v>35</v>
      </c>
      <c r="J291" s="142">
        <v>20</v>
      </c>
      <c r="K291" s="142">
        <v>18</v>
      </c>
      <c r="L291" s="142">
        <v>23</v>
      </c>
      <c r="M291" s="142">
        <v>24</v>
      </c>
      <c r="N291" s="83">
        <v>21</v>
      </c>
      <c r="O291" s="84">
        <v>28</v>
      </c>
      <c r="P291" s="45">
        <f t="shared" si="22"/>
        <v>269</v>
      </c>
      <c r="Q291" s="54">
        <f t="shared" si="23"/>
        <v>2.6988170352541753E-4</v>
      </c>
      <c r="S291" s="130"/>
    </row>
    <row r="292" spans="1:19" ht="15.75" hidden="1" thickBot="1" x14ac:dyDescent="0.3">
      <c r="A292" s="40" t="s">
        <v>447</v>
      </c>
      <c r="B292" s="69" t="str">
        <f t="shared" si="21"/>
        <v>HIPERTENSIÓN</v>
      </c>
      <c r="C292" s="140" t="s">
        <v>913</v>
      </c>
      <c r="D292" s="141">
        <v>28</v>
      </c>
      <c r="E292" s="142">
        <v>32</v>
      </c>
      <c r="F292" s="142">
        <v>37</v>
      </c>
      <c r="G292" s="142">
        <v>50</v>
      </c>
      <c r="H292" s="142">
        <v>55</v>
      </c>
      <c r="I292" s="142">
        <v>24</v>
      </c>
      <c r="J292" s="142">
        <v>15</v>
      </c>
      <c r="K292" s="142">
        <v>10</v>
      </c>
      <c r="L292" s="142">
        <v>7</v>
      </c>
      <c r="M292" s="142">
        <v>7</v>
      </c>
      <c r="N292" s="83">
        <v>2</v>
      </c>
      <c r="O292" s="84"/>
      <c r="P292" s="45">
        <f t="shared" si="22"/>
        <v>267</v>
      </c>
      <c r="Q292" s="54">
        <f t="shared" si="23"/>
        <v>2.6787514810887168E-4</v>
      </c>
      <c r="S292" s="130"/>
    </row>
    <row r="293" spans="1:19" ht="45.75" hidden="1" thickBot="1" x14ac:dyDescent="0.3">
      <c r="A293" s="40" t="s">
        <v>453</v>
      </c>
      <c r="B293" s="69" t="str">
        <f t="shared" si="21"/>
        <v>NEGACIÓN DE LA AUTORIZACIÓN PARA TRASPORTE DE AMBULANCIA MEDICALIZADA</v>
      </c>
      <c r="C293" s="140" t="s">
        <v>914</v>
      </c>
      <c r="D293" s="141">
        <v>14</v>
      </c>
      <c r="E293" s="142">
        <v>16</v>
      </c>
      <c r="F293" s="142">
        <v>23</v>
      </c>
      <c r="G293" s="142">
        <v>26</v>
      </c>
      <c r="H293" s="142">
        <v>29</v>
      </c>
      <c r="I293" s="142">
        <v>22</v>
      </c>
      <c r="J293" s="142">
        <v>25</v>
      </c>
      <c r="K293" s="142">
        <v>23</v>
      </c>
      <c r="L293" s="142">
        <v>20</v>
      </c>
      <c r="M293" s="142">
        <v>24</v>
      </c>
      <c r="N293" s="83">
        <v>22</v>
      </c>
      <c r="O293" s="84">
        <v>15</v>
      </c>
      <c r="P293" s="45">
        <f t="shared" si="22"/>
        <v>259</v>
      </c>
      <c r="Q293" s="54">
        <f t="shared" si="23"/>
        <v>2.5984892644268827E-4</v>
      </c>
      <c r="S293" s="130"/>
    </row>
    <row r="294" spans="1:19" ht="60.75" hidden="1" thickBot="1" x14ac:dyDescent="0.3">
      <c r="A294" s="40" t="s">
        <v>405</v>
      </c>
      <c r="B294" s="69" t="str">
        <f t="shared" si="21"/>
        <v>FALTA DE OPORTUNIDAD EN LA ENTREGA DE MEDICAMENTOS NO POS PARA ENFERMEDADES RARAS O HUÉRFANAS</v>
      </c>
      <c r="C294" s="140" t="s">
        <v>788</v>
      </c>
      <c r="D294" s="141">
        <v>19</v>
      </c>
      <c r="E294" s="142">
        <v>19</v>
      </c>
      <c r="F294" s="142">
        <v>31</v>
      </c>
      <c r="G294" s="142">
        <v>27</v>
      </c>
      <c r="H294" s="142">
        <v>22</v>
      </c>
      <c r="I294" s="142">
        <v>34</v>
      </c>
      <c r="J294" s="142">
        <v>28</v>
      </c>
      <c r="K294" s="142">
        <v>17</v>
      </c>
      <c r="L294" s="142">
        <v>14</v>
      </c>
      <c r="M294" s="142">
        <v>14</v>
      </c>
      <c r="N294" s="83">
        <v>16</v>
      </c>
      <c r="O294" s="84">
        <v>14</v>
      </c>
      <c r="P294" s="45">
        <f t="shared" si="22"/>
        <v>255</v>
      </c>
      <c r="Q294" s="54">
        <f t="shared" si="23"/>
        <v>2.5583581560959656E-4</v>
      </c>
      <c r="S294" s="130"/>
    </row>
    <row r="295" spans="1:19" ht="45.75" hidden="1" thickBot="1" x14ac:dyDescent="0.3">
      <c r="A295" s="40" t="s">
        <v>421</v>
      </c>
      <c r="B295" s="69" t="str">
        <f t="shared" si="21"/>
        <v>NEGACIÓN PARA LA PROGRAMACIÓN Y/O REALIZACIÓN DE PROCEDIMIENTOS QUIRÚRGICOS</v>
      </c>
      <c r="C295" s="140" t="s">
        <v>915</v>
      </c>
      <c r="D295" s="141">
        <v>11</v>
      </c>
      <c r="E295" s="142">
        <v>18</v>
      </c>
      <c r="F295" s="142">
        <v>19</v>
      </c>
      <c r="G295" s="142">
        <v>20</v>
      </c>
      <c r="H295" s="142">
        <v>12</v>
      </c>
      <c r="I295" s="142">
        <v>9</v>
      </c>
      <c r="J295" s="142">
        <v>22</v>
      </c>
      <c r="K295" s="142">
        <v>33</v>
      </c>
      <c r="L295" s="142">
        <v>34</v>
      </c>
      <c r="M295" s="142">
        <v>24</v>
      </c>
      <c r="N295" s="83">
        <v>18</v>
      </c>
      <c r="O295" s="84">
        <v>29</v>
      </c>
      <c r="P295" s="45">
        <f t="shared" si="22"/>
        <v>249</v>
      </c>
      <c r="Q295" s="54">
        <f t="shared" si="23"/>
        <v>2.4981614935995901E-4</v>
      </c>
      <c r="S295" s="130"/>
    </row>
    <row r="296" spans="1:19" ht="60.75" hidden="1" thickBot="1" x14ac:dyDescent="0.3">
      <c r="A296" s="40" t="s">
        <v>428</v>
      </c>
      <c r="B296" s="69" t="str">
        <f t="shared" si="21"/>
        <v>NO RECONOCIMIENTO Y PAGO DE LAS PRESTACIONES ECONÓMICAS DERIVADAS DE INCAPACIDAD DE ACCIDENTE DE TRABAJO</v>
      </c>
      <c r="C296" s="140" t="s">
        <v>916</v>
      </c>
      <c r="D296" s="141">
        <v>20</v>
      </c>
      <c r="E296" s="142">
        <v>17</v>
      </c>
      <c r="F296" s="142">
        <v>32</v>
      </c>
      <c r="G296" s="142">
        <v>19</v>
      </c>
      <c r="H296" s="142">
        <v>22</v>
      </c>
      <c r="I296" s="142">
        <v>14</v>
      </c>
      <c r="J296" s="142">
        <v>24</v>
      </c>
      <c r="K296" s="142">
        <v>20</v>
      </c>
      <c r="L296" s="142">
        <v>25</v>
      </c>
      <c r="M296" s="142">
        <v>17</v>
      </c>
      <c r="N296" s="83">
        <v>17</v>
      </c>
      <c r="O296" s="84">
        <v>21</v>
      </c>
      <c r="P296" s="45">
        <f t="shared" si="22"/>
        <v>248</v>
      </c>
      <c r="Q296" s="54">
        <f t="shared" si="23"/>
        <v>2.4881287165168605E-4</v>
      </c>
      <c r="S296" s="130"/>
    </row>
    <row r="297" spans="1:19" ht="30.75" hidden="1" thickBot="1" x14ac:dyDescent="0.3">
      <c r="A297" s="40" t="s">
        <v>433</v>
      </c>
      <c r="B297" s="69" t="str">
        <f t="shared" si="21"/>
        <v>NEGACIÓN DE LA AUTORIZACIÓN DE HOSPITALIZACIONES</v>
      </c>
      <c r="C297" s="140" t="s">
        <v>917</v>
      </c>
      <c r="D297" s="141">
        <v>7</v>
      </c>
      <c r="E297" s="142">
        <v>11</v>
      </c>
      <c r="F297" s="142">
        <v>12</v>
      </c>
      <c r="G297" s="142">
        <v>15</v>
      </c>
      <c r="H297" s="142">
        <v>11</v>
      </c>
      <c r="I297" s="142">
        <v>12</v>
      </c>
      <c r="J297" s="142">
        <v>14</v>
      </c>
      <c r="K297" s="142">
        <v>24</v>
      </c>
      <c r="L297" s="142">
        <v>23</v>
      </c>
      <c r="M297" s="142">
        <v>72</v>
      </c>
      <c r="N297" s="83">
        <v>26</v>
      </c>
      <c r="O297" s="84">
        <v>17</v>
      </c>
      <c r="P297" s="45">
        <f t="shared" si="22"/>
        <v>244</v>
      </c>
      <c r="Q297" s="54">
        <f t="shared" si="23"/>
        <v>2.4479976081859435E-4</v>
      </c>
      <c r="S297" s="130"/>
    </row>
    <row r="298" spans="1:19" ht="30.75" hidden="1" thickBot="1" x14ac:dyDescent="0.3">
      <c r="A298" s="40" t="s">
        <v>445</v>
      </c>
      <c r="B298" s="69" t="str">
        <f t="shared" si="21"/>
        <v>ENFERMEDADES CRÓNICAS NO TRANSMISIBLES RENALES</v>
      </c>
      <c r="C298" s="140" t="s">
        <v>918</v>
      </c>
      <c r="D298" s="141">
        <v>37</v>
      </c>
      <c r="E298" s="142">
        <v>29</v>
      </c>
      <c r="F298" s="142">
        <v>32</v>
      </c>
      <c r="G298" s="142">
        <v>40</v>
      </c>
      <c r="H298" s="142">
        <v>34</v>
      </c>
      <c r="I298" s="142">
        <v>23</v>
      </c>
      <c r="J298" s="142">
        <v>14</v>
      </c>
      <c r="K298" s="142">
        <v>14</v>
      </c>
      <c r="L298" s="142">
        <v>7</v>
      </c>
      <c r="M298" s="142">
        <v>7</v>
      </c>
      <c r="N298" s="83">
        <v>6</v>
      </c>
      <c r="O298" s="84"/>
      <c r="P298" s="45">
        <f t="shared" si="22"/>
        <v>243</v>
      </c>
      <c r="Q298" s="54">
        <f t="shared" si="23"/>
        <v>2.4379648311032142E-4</v>
      </c>
      <c r="S298" s="130"/>
    </row>
    <row r="299" spans="1:19" ht="30.75" hidden="1" thickBot="1" x14ac:dyDescent="0.3">
      <c r="A299" s="40" t="s">
        <v>440</v>
      </c>
      <c r="B299" s="69" t="str">
        <f t="shared" si="21"/>
        <v>NEGACIÓN DE INSUMOS MÉDICOS HOSPITALARIOS POS</v>
      </c>
      <c r="C299" s="140" t="s">
        <v>919</v>
      </c>
      <c r="D299" s="141">
        <v>12</v>
      </c>
      <c r="E299" s="142">
        <v>11</v>
      </c>
      <c r="F299" s="142">
        <v>12</v>
      </c>
      <c r="G299" s="142">
        <v>14</v>
      </c>
      <c r="H299" s="142">
        <v>13</v>
      </c>
      <c r="I299" s="142">
        <v>17</v>
      </c>
      <c r="J299" s="142">
        <v>21</v>
      </c>
      <c r="K299" s="142">
        <v>23</v>
      </c>
      <c r="L299" s="142">
        <v>12</v>
      </c>
      <c r="M299" s="142">
        <v>11</v>
      </c>
      <c r="N299" s="83">
        <v>15</v>
      </c>
      <c r="O299" s="84">
        <v>70</v>
      </c>
      <c r="P299" s="45">
        <f t="shared" si="22"/>
        <v>231</v>
      </c>
      <c r="Q299" s="54">
        <f t="shared" si="23"/>
        <v>2.3175715061104628E-4</v>
      </c>
      <c r="S299" s="130"/>
    </row>
    <row r="300" spans="1:19" ht="30.75" hidden="1" thickBot="1" x14ac:dyDescent="0.3">
      <c r="A300" s="40" t="s">
        <v>417</v>
      </c>
      <c r="B300" s="69" t="str">
        <f t="shared" si="21"/>
        <v>DEMORA DE LA AUTORIZACIÓN DE SERVICIOS DE ALTO COSTO PARA: VIH</v>
      </c>
      <c r="C300" s="140" t="s">
        <v>920</v>
      </c>
      <c r="D300" s="141">
        <v>37</v>
      </c>
      <c r="E300" s="142">
        <v>29</v>
      </c>
      <c r="F300" s="142">
        <v>37</v>
      </c>
      <c r="G300" s="142">
        <v>21</v>
      </c>
      <c r="H300" s="142">
        <v>27</v>
      </c>
      <c r="I300" s="142">
        <v>14</v>
      </c>
      <c r="J300" s="142">
        <v>12</v>
      </c>
      <c r="K300" s="142">
        <v>22</v>
      </c>
      <c r="L300" s="142">
        <v>12</v>
      </c>
      <c r="M300" s="142">
        <v>3</v>
      </c>
      <c r="N300" s="83">
        <v>8</v>
      </c>
      <c r="O300" s="84">
        <v>7</v>
      </c>
      <c r="P300" s="45">
        <f t="shared" si="22"/>
        <v>229</v>
      </c>
      <c r="Q300" s="54">
        <f t="shared" si="23"/>
        <v>2.2975059519450043E-4</v>
      </c>
      <c r="S300" s="130"/>
    </row>
    <row r="301" spans="1:19" ht="30.75" hidden="1" thickBot="1" x14ac:dyDescent="0.3">
      <c r="A301" s="40" t="s">
        <v>413</v>
      </c>
      <c r="B301" s="69" t="str">
        <f t="shared" si="21"/>
        <v>NEGACIÓN DE LA AUTORIZACIÓN DE SERVICIOS DE URGENCIAS</v>
      </c>
      <c r="C301" s="140" t="s">
        <v>921</v>
      </c>
      <c r="D301" s="141">
        <v>10</v>
      </c>
      <c r="E301" s="142">
        <v>11</v>
      </c>
      <c r="F301" s="142">
        <v>20</v>
      </c>
      <c r="G301" s="142">
        <v>16</v>
      </c>
      <c r="H301" s="142">
        <v>12</v>
      </c>
      <c r="I301" s="142">
        <v>12</v>
      </c>
      <c r="J301" s="142">
        <v>23</v>
      </c>
      <c r="K301" s="142">
        <v>30</v>
      </c>
      <c r="L301" s="142">
        <v>26</v>
      </c>
      <c r="M301" s="142">
        <v>32</v>
      </c>
      <c r="N301" s="83">
        <v>14</v>
      </c>
      <c r="O301" s="84">
        <v>23</v>
      </c>
      <c r="P301" s="45">
        <f t="shared" si="22"/>
        <v>229</v>
      </c>
      <c r="Q301" s="54">
        <f t="shared" si="23"/>
        <v>2.2975059519450043E-4</v>
      </c>
      <c r="S301" s="130"/>
    </row>
    <row r="302" spans="1:19" ht="45.75" hidden="1" thickBot="1" x14ac:dyDescent="0.3">
      <c r="A302" s="40" t="s">
        <v>488</v>
      </c>
      <c r="B302" s="69" t="str">
        <f t="shared" si="21"/>
        <v>NEGACIÓN DE LA PRESTACIÓN DE LABORATORIO CLÍNICO Y ANATOMO-PATOLÓGICO</v>
      </c>
      <c r="C302" s="140" t="s">
        <v>922</v>
      </c>
      <c r="D302" s="141">
        <v>84</v>
      </c>
      <c r="E302" s="142">
        <v>10</v>
      </c>
      <c r="F302" s="142">
        <v>17</v>
      </c>
      <c r="G302" s="142">
        <v>9</v>
      </c>
      <c r="H302" s="142">
        <v>8</v>
      </c>
      <c r="I302" s="142">
        <v>8</v>
      </c>
      <c r="J302" s="142">
        <v>12</v>
      </c>
      <c r="K302" s="142">
        <v>23</v>
      </c>
      <c r="L302" s="142">
        <v>18</v>
      </c>
      <c r="M302" s="142">
        <v>9</v>
      </c>
      <c r="N302" s="83">
        <v>5</v>
      </c>
      <c r="O302" s="84">
        <v>4</v>
      </c>
      <c r="P302" s="45">
        <f t="shared" si="22"/>
        <v>207</v>
      </c>
      <c r="Q302" s="54">
        <f t="shared" si="23"/>
        <v>2.0767848561249603E-4</v>
      </c>
      <c r="S302" s="130"/>
    </row>
    <row r="303" spans="1:19" ht="30.75" hidden="1" thickBot="1" x14ac:dyDescent="0.3">
      <c r="A303" s="40" t="s">
        <v>471</v>
      </c>
      <c r="B303" s="69" t="str">
        <f t="shared" si="21"/>
        <v>NEGACIÓN DE LA AUTORIZACIÓN DE CONSULTA MÉDICA GENERAL</v>
      </c>
      <c r="C303" s="140" t="s">
        <v>923</v>
      </c>
      <c r="D303" s="141">
        <v>16</v>
      </c>
      <c r="E303" s="142">
        <v>15</v>
      </c>
      <c r="F303" s="142">
        <v>19</v>
      </c>
      <c r="G303" s="142">
        <v>22</v>
      </c>
      <c r="H303" s="142">
        <v>19</v>
      </c>
      <c r="I303" s="142">
        <v>23</v>
      </c>
      <c r="J303" s="142">
        <v>19</v>
      </c>
      <c r="K303" s="142">
        <v>31</v>
      </c>
      <c r="L303" s="142">
        <v>12</v>
      </c>
      <c r="M303" s="142">
        <v>13</v>
      </c>
      <c r="N303" s="83">
        <v>6</v>
      </c>
      <c r="O303" s="84">
        <v>6</v>
      </c>
      <c r="P303" s="45">
        <f t="shared" si="22"/>
        <v>201</v>
      </c>
      <c r="Q303" s="54">
        <f t="shared" si="23"/>
        <v>2.0165881936285845E-4</v>
      </c>
      <c r="S303" s="130"/>
    </row>
    <row r="304" spans="1:19" ht="30.75" hidden="1" thickBot="1" x14ac:dyDescent="0.3">
      <c r="A304" s="40" t="s">
        <v>432</v>
      </c>
      <c r="B304" s="69" t="str">
        <f t="shared" si="21"/>
        <v>NEGACIÓN DE LA AUTORIZACIÓN DE CIRUGÍA NO POS</v>
      </c>
      <c r="C304" s="140" t="s">
        <v>924</v>
      </c>
      <c r="D304" s="141">
        <v>15</v>
      </c>
      <c r="E304" s="142">
        <v>16</v>
      </c>
      <c r="F304" s="142">
        <v>15</v>
      </c>
      <c r="G304" s="142">
        <v>12</v>
      </c>
      <c r="H304" s="142">
        <v>17</v>
      </c>
      <c r="I304" s="142">
        <v>9</v>
      </c>
      <c r="J304" s="142">
        <v>17</v>
      </c>
      <c r="K304" s="142">
        <v>14</v>
      </c>
      <c r="L304" s="142">
        <v>14</v>
      </c>
      <c r="M304" s="142">
        <v>15</v>
      </c>
      <c r="N304" s="83">
        <v>28</v>
      </c>
      <c r="O304" s="84">
        <v>24</v>
      </c>
      <c r="P304" s="45">
        <f t="shared" si="22"/>
        <v>196</v>
      </c>
      <c r="Q304" s="54">
        <f t="shared" si="23"/>
        <v>1.9664243082149381E-4</v>
      </c>
      <c r="S304" s="130"/>
    </row>
    <row r="305" spans="1:19" ht="30.75" hidden="1" thickBot="1" x14ac:dyDescent="0.3">
      <c r="A305" s="40" t="s">
        <v>446</v>
      </c>
      <c r="B305" s="69" t="str">
        <f t="shared" si="21"/>
        <v>NEGACIÓN DE LA AUTORIZACIÓN DE PROCEDIMIENTOS POS</v>
      </c>
      <c r="C305" s="140" t="s">
        <v>925</v>
      </c>
      <c r="D305" s="141">
        <v>10</v>
      </c>
      <c r="E305" s="142">
        <v>12</v>
      </c>
      <c r="F305" s="142">
        <v>20</v>
      </c>
      <c r="G305" s="142">
        <v>13</v>
      </c>
      <c r="H305" s="142">
        <v>12</v>
      </c>
      <c r="I305" s="142">
        <v>17</v>
      </c>
      <c r="J305" s="142">
        <v>14</v>
      </c>
      <c r="K305" s="142">
        <v>23</v>
      </c>
      <c r="L305" s="142">
        <v>22</v>
      </c>
      <c r="M305" s="142">
        <v>19</v>
      </c>
      <c r="N305" s="83">
        <v>10</v>
      </c>
      <c r="O305" s="84">
        <v>13</v>
      </c>
      <c r="P305" s="45">
        <f t="shared" si="22"/>
        <v>185</v>
      </c>
      <c r="Q305" s="54">
        <f t="shared" si="23"/>
        <v>1.8560637603049163E-4</v>
      </c>
      <c r="S305" s="130"/>
    </row>
    <row r="306" spans="1:19" ht="60.75" hidden="1" thickBot="1" x14ac:dyDescent="0.3">
      <c r="A306" s="40" t="s">
        <v>544</v>
      </c>
      <c r="B306" s="69" t="str">
        <f t="shared" si="21"/>
        <v>INCUMPLIMIENTO DE ACCIONES DE SEGUIMIENTO Y ATENCIÓN DE LAS ENFERMEDADES DE INTERÉS EN SALUD PUBLICA</v>
      </c>
      <c r="C306" s="140" t="s">
        <v>926</v>
      </c>
      <c r="D306" s="141">
        <v>29</v>
      </c>
      <c r="E306" s="142">
        <v>8</v>
      </c>
      <c r="F306" s="142">
        <v>13</v>
      </c>
      <c r="G306" s="142">
        <v>18</v>
      </c>
      <c r="H306" s="142">
        <v>27</v>
      </c>
      <c r="I306" s="142">
        <v>27</v>
      </c>
      <c r="J306" s="142">
        <v>14</v>
      </c>
      <c r="K306" s="142">
        <v>9</v>
      </c>
      <c r="L306" s="142">
        <v>3</v>
      </c>
      <c r="M306" s="142">
        <v>1</v>
      </c>
      <c r="N306" s="83">
        <v>29</v>
      </c>
      <c r="O306" s="84">
        <v>4</v>
      </c>
      <c r="P306" s="45">
        <f t="shared" si="22"/>
        <v>182</v>
      </c>
      <c r="Q306" s="54">
        <f t="shared" si="23"/>
        <v>1.8259654290567282E-4</v>
      </c>
      <c r="S306" s="130"/>
    </row>
    <row r="307" spans="1:19" ht="60.75" hidden="1" thickBot="1" x14ac:dyDescent="0.3">
      <c r="A307" s="40" t="s">
        <v>462</v>
      </c>
      <c r="B307" s="69" t="str">
        <f t="shared" si="21"/>
        <v>NEGACIÓN DE LA AUTORIZACIÓN DE ELEMENTOS PARA TERAPIAS FÍSICAS, OCUPACIONALES, RESPIRATORIAS Y DEL LENGUAJE</v>
      </c>
      <c r="C307" s="140" t="s">
        <v>927</v>
      </c>
      <c r="D307" s="141">
        <v>10</v>
      </c>
      <c r="E307" s="142">
        <v>15</v>
      </c>
      <c r="F307" s="142">
        <v>18</v>
      </c>
      <c r="G307" s="142">
        <v>22</v>
      </c>
      <c r="H307" s="142">
        <v>11</v>
      </c>
      <c r="I307" s="142">
        <v>8</v>
      </c>
      <c r="J307" s="142">
        <v>19</v>
      </c>
      <c r="K307" s="142">
        <v>23</v>
      </c>
      <c r="L307" s="142">
        <v>10</v>
      </c>
      <c r="M307" s="142">
        <v>8</v>
      </c>
      <c r="N307" s="83">
        <v>15</v>
      </c>
      <c r="O307" s="84">
        <v>6</v>
      </c>
      <c r="P307" s="45">
        <f t="shared" si="22"/>
        <v>165</v>
      </c>
      <c r="Q307" s="54">
        <f t="shared" si="23"/>
        <v>1.6554082186503305E-4</v>
      </c>
      <c r="S307" s="130"/>
    </row>
    <row r="308" spans="1:19" ht="45.75" hidden="1" thickBot="1" x14ac:dyDescent="0.3">
      <c r="A308" s="40" t="s">
        <v>467</v>
      </c>
      <c r="B308" s="69" t="str">
        <f t="shared" si="21"/>
        <v>FALTA DE OPORTUNIDAD EN LA ASIGNACIÓN DE CITAS DE CONSULTA MÉDICA ESPECIALIZADA OBSTETRICIA</v>
      </c>
      <c r="C308" s="140" t="s">
        <v>928</v>
      </c>
      <c r="D308" s="141">
        <v>10</v>
      </c>
      <c r="E308" s="142">
        <v>6</v>
      </c>
      <c r="F308" s="142">
        <v>9</v>
      </c>
      <c r="G308" s="142">
        <v>15</v>
      </c>
      <c r="H308" s="142">
        <v>8</v>
      </c>
      <c r="I308" s="142">
        <v>13</v>
      </c>
      <c r="J308" s="142">
        <v>28</v>
      </c>
      <c r="K308" s="142">
        <v>26</v>
      </c>
      <c r="L308" s="142">
        <v>12</v>
      </c>
      <c r="M308" s="142">
        <v>11</v>
      </c>
      <c r="N308" s="83">
        <v>13</v>
      </c>
      <c r="O308" s="84">
        <v>13</v>
      </c>
      <c r="P308" s="45">
        <f t="shared" si="22"/>
        <v>164</v>
      </c>
      <c r="Q308" s="54">
        <f t="shared" si="23"/>
        <v>1.6453754415676013E-4</v>
      </c>
      <c r="S308" s="130"/>
    </row>
    <row r="309" spans="1:19" ht="30.75" hidden="1" thickBot="1" x14ac:dyDescent="0.3">
      <c r="A309" s="40" t="s">
        <v>478</v>
      </c>
      <c r="B309" s="69" t="str">
        <f t="shared" si="21"/>
        <v>MALA O DEFICIENTE INFORMACIÓN SOBRE LA RED DE PRESTADORES</v>
      </c>
      <c r="C309" s="143" t="s">
        <v>929</v>
      </c>
      <c r="D309" s="144">
        <v>21</v>
      </c>
      <c r="E309" s="145">
        <v>21</v>
      </c>
      <c r="F309" s="145">
        <v>29</v>
      </c>
      <c r="G309" s="145">
        <v>20</v>
      </c>
      <c r="H309" s="145">
        <v>10</v>
      </c>
      <c r="I309" s="145">
        <v>9</v>
      </c>
      <c r="J309" s="145">
        <v>11</v>
      </c>
      <c r="K309" s="145">
        <v>8</v>
      </c>
      <c r="L309" s="142">
        <v>16</v>
      </c>
      <c r="M309" s="142">
        <v>7</v>
      </c>
      <c r="N309" s="63">
        <v>4</v>
      </c>
      <c r="O309" s="62">
        <v>7</v>
      </c>
      <c r="P309" s="45">
        <f t="shared" si="22"/>
        <v>163</v>
      </c>
      <c r="Q309" s="54">
        <f t="shared" si="23"/>
        <v>1.635342664484872E-4</v>
      </c>
      <c r="S309" s="130"/>
    </row>
    <row r="310" spans="1:19" ht="15.75" hidden="1" thickBot="1" x14ac:dyDescent="0.3">
      <c r="A310" s="40" t="s">
        <v>423</v>
      </c>
      <c r="B310" s="69" t="str">
        <f t="shared" si="21"/>
        <v>DESACATO A TUTELAS</v>
      </c>
      <c r="C310" s="140" t="s">
        <v>424</v>
      </c>
      <c r="D310" s="141">
        <v>14</v>
      </c>
      <c r="E310" s="142">
        <v>9</v>
      </c>
      <c r="F310" s="142">
        <v>12</v>
      </c>
      <c r="G310" s="142">
        <v>16</v>
      </c>
      <c r="H310" s="142">
        <v>16</v>
      </c>
      <c r="I310" s="142">
        <v>12</v>
      </c>
      <c r="J310" s="142">
        <v>16</v>
      </c>
      <c r="K310" s="142">
        <v>17</v>
      </c>
      <c r="L310" s="142">
        <v>13</v>
      </c>
      <c r="M310" s="142">
        <v>7</v>
      </c>
      <c r="N310" s="83">
        <v>15</v>
      </c>
      <c r="O310" s="84">
        <v>15</v>
      </c>
      <c r="P310" s="45">
        <f t="shared" si="22"/>
        <v>162</v>
      </c>
      <c r="Q310" s="54">
        <f t="shared" si="23"/>
        <v>1.6253098874021427E-4</v>
      </c>
      <c r="S310" s="130"/>
    </row>
    <row r="311" spans="1:19" ht="60.75" hidden="1" thickBot="1" x14ac:dyDescent="0.3">
      <c r="A311" s="40" t="s">
        <v>479</v>
      </c>
      <c r="B311" s="69" t="str">
        <f t="shared" si="21"/>
        <v>INCUMPLIMIENTO EN RECURSO FÍSICO, TECNOLÓGICO E INSUMOS PARA LA GESTIÓN DE LAS ACCIONES DE SALUD PUBLICA</v>
      </c>
      <c r="C311" s="140" t="s">
        <v>930</v>
      </c>
      <c r="D311" s="141">
        <v>15</v>
      </c>
      <c r="E311" s="142">
        <v>23</v>
      </c>
      <c r="F311" s="142">
        <v>28</v>
      </c>
      <c r="G311" s="142">
        <v>14</v>
      </c>
      <c r="H311" s="142">
        <v>29</v>
      </c>
      <c r="I311" s="142">
        <v>13</v>
      </c>
      <c r="J311" s="142">
        <v>3</v>
      </c>
      <c r="K311" s="142">
        <v>6</v>
      </c>
      <c r="L311" s="142">
        <v>2</v>
      </c>
      <c r="M311" s="142">
        <v>5</v>
      </c>
      <c r="N311" s="83">
        <v>2</v>
      </c>
      <c r="O311" s="84">
        <v>5</v>
      </c>
      <c r="P311" s="45">
        <f t="shared" si="22"/>
        <v>145</v>
      </c>
      <c r="Q311" s="54">
        <f t="shared" si="23"/>
        <v>1.454752676995745E-4</v>
      </c>
      <c r="S311" s="130"/>
    </row>
    <row r="312" spans="1:19" ht="45.75" hidden="1" thickBot="1" x14ac:dyDescent="0.3">
      <c r="A312" s="40" t="s">
        <v>443</v>
      </c>
      <c r="B312" s="69" t="str">
        <f t="shared" si="21"/>
        <v>FALLA EN EL REPORTE DE LA ATENCIÓN INICIAL DE URGENCIAS A LA EAPB POR PARTE DEL PRESTADOR</v>
      </c>
      <c r="C312" s="140" t="s">
        <v>931</v>
      </c>
      <c r="D312" s="141">
        <v>6</v>
      </c>
      <c r="E312" s="142">
        <v>6</v>
      </c>
      <c r="F312" s="142">
        <v>11</v>
      </c>
      <c r="G312" s="142">
        <v>11</v>
      </c>
      <c r="H312" s="142">
        <v>12</v>
      </c>
      <c r="I312" s="142">
        <v>17</v>
      </c>
      <c r="J312" s="142">
        <v>11</v>
      </c>
      <c r="K312" s="142">
        <v>13</v>
      </c>
      <c r="L312" s="142">
        <v>12</v>
      </c>
      <c r="M312" s="142">
        <v>20</v>
      </c>
      <c r="N312" s="83">
        <v>15</v>
      </c>
      <c r="O312" s="84">
        <v>10</v>
      </c>
      <c r="P312" s="45">
        <f t="shared" si="22"/>
        <v>144</v>
      </c>
      <c r="Q312" s="54">
        <f t="shared" si="23"/>
        <v>1.4447198999130158E-4</v>
      </c>
      <c r="S312" s="130"/>
    </row>
    <row r="313" spans="1:19" ht="30.75" hidden="1" thickBot="1" x14ac:dyDescent="0.3">
      <c r="A313" s="40" t="s">
        <v>425</v>
      </c>
      <c r="B313" s="69" t="str">
        <f t="shared" si="21"/>
        <v>NEGACIÓN DE INSUMOS MÉDICOS PARA AYUDAS AUDITIVAS</v>
      </c>
      <c r="C313" s="140" t="s">
        <v>932</v>
      </c>
      <c r="D313" s="141">
        <v>6</v>
      </c>
      <c r="E313" s="142">
        <v>8</v>
      </c>
      <c r="F313" s="142">
        <v>15</v>
      </c>
      <c r="G313" s="142">
        <v>5</v>
      </c>
      <c r="H313" s="142">
        <v>7</v>
      </c>
      <c r="I313" s="142">
        <v>6</v>
      </c>
      <c r="J313" s="142">
        <v>8</v>
      </c>
      <c r="K313" s="142">
        <v>17</v>
      </c>
      <c r="L313" s="142">
        <v>21</v>
      </c>
      <c r="M313" s="142">
        <v>16</v>
      </c>
      <c r="N313" s="83">
        <v>14</v>
      </c>
      <c r="O313" s="84">
        <v>19</v>
      </c>
      <c r="P313" s="45">
        <f t="shared" si="22"/>
        <v>142</v>
      </c>
      <c r="Q313" s="54">
        <f t="shared" si="23"/>
        <v>1.4246543457475572E-4</v>
      </c>
      <c r="S313" s="130"/>
    </row>
    <row r="314" spans="1:19" ht="45.75" hidden="1" thickBot="1" x14ac:dyDescent="0.3">
      <c r="A314" s="40" t="s">
        <v>420</v>
      </c>
      <c r="B314" s="69" t="str">
        <f t="shared" si="21"/>
        <v>NEGACIÓN DE LA AUTORIZACIÓN DE SERVICIOS DE ALTO COSTO PARA:  CÁNCER</v>
      </c>
      <c r="C314" s="140" t="s">
        <v>933</v>
      </c>
      <c r="D314" s="141">
        <v>11</v>
      </c>
      <c r="E314" s="142">
        <v>24</v>
      </c>
      <c r="F314" s="142">
        <v>12</v>
      </c>
      <c r="G314" s="142">
        <v>6</v>
      </c>
      <c r="H314" s="142">
        <v>8</v>
      </c>
      <c r="I314" s="142">
        <v>13</v>
      </c>
      <c r="J314" s="142">
        <v>21</v>
      </c>
      <c r="K314" s="142">
        <v>12</v>
      </c>
      <c r="L314" s="142">
        <v>12</v>
      </c>
      <c r="M314" s="142">
        <v>5</v>
      </c>
      <c r="N314" s="83">
        <v>7</v>
      </c>
      <c r="O314" s="84">
        <v>10</v>
      </c>
      <c r="P314" s="45">
        <f t="shared" si="22"/>
        <v>141</v>
      </c>
      <c r="Q314" s="54">
        <f t="shared" si="23"/>
        <v>1.414621568664828E-4</v>
      </c>
      <c r="S314" s="130"/>
    </row>
    <row r="315" spans="1:19" ht="15.75" hidden="1" thickBot="1" x14ac:dyDescent="0.3">
      <c r="A315" s="40" t="s">
        <v>435</v>
      </c>
      <c r="B315" s="69" t="str">
        <f t="shared" si="21"/>
        <v>FALTA DE PERSONAL ADMINISTRATIVO</v>
      </c>
      <c r="C315" s="140" t="s">
        <v>436</v>
      </c>
      <c r="D315" s="141">
        <v>10</v>
      </c>
      <c r="E315" s="142">
        <v>7</v>
      </c>
      <c r="F315" s="142">
        <v>11</v>
      </c>
      <c r="G315" s="142">
        <v>6</v>
      </c>
      <c r="H315" s="142">
        <v>5</v>
      </c>
      <c r="I315" s="142">
        <v>6</v>
      </c>
      <c r="J315" s="142">
        <v>4</v>
      </c>
      <c r="K315" s="142">
        <v>15</v>
      </c>
      <c r="L315" s="142">
        <v>18</v>
      </c>
      <c r="M315" s="142">
        <v>19</v>
      </c>
      <c r="N315" s="83">
        <v>16</v>
      </c>
      <c r="O315" s="84">
        <v>23</v>
      </c>
      <c r="P315" s="45">
        <f t="shared" si="22"/>
        <v>140</v>
      </c>
      <c r="Q315" s="54">
        <f t="shared" si="23"/>
        <v>1.4045887915820987E-4</v>
      </c>
      <c r="S315" s="130"/>
    </row>
    <row r="316" spans="1:19" ht="30.75" hidden="1" thickBot="1" x14ac:dyDescent="0.3">
      <c r="A316" s="40" t="s">
        <v>477</v>
      </c>
      <c r="B316" s="69" t="str">
        <f t="shared" si="21"/>
        <v>NEGACIÓN DE LA CONSULTA MÉDICA ESPECIALIZADA DE GINECOLOGÍA</v>
      </c>
      <c r="C316" s="140" t="s">
        <v>934</v>
      </c>
      <c r="D316" s="141">
        <v>9</v>
      </c>
      <c r="E316" s="142">
        <v>10</v>
      </c>
      <c r="F316" s="142">
        <v>14</v>
      </c>
      <c r="G316" s="142">
        <v>13</v>
      </c>
      <c r="H316" s="142">
        <v>7</v>
      </c>
      <c r="I316" s="142">
        <v>9</v>
      </c>
      <c r="J316" s="142">
        <v>20</v>
      </c>
      <c r="K316" s="142">
        <v>18</v>
      </c>
      <c r="L316" s="142">
        <v>17</v>
      </c>
      <c r="M316" s="142">
        <v>10</v>
      </c>
      <c r="N316" s="83">
        <v>5</v>
      </c>
      <c r="O316" s="84">
        <v>7</v>
      </c>
      <c r="P316" s="45">
        <f t="shared" si="22"/>
        <v>139</v>
      </c>
      <c r="Q316" s="54">
        <f t="shared" si="23"/>
        <v>1.3945560144993695E-4</v>
      </c>
      <c r="S316" s="130"/>
    </row>
    <row r="317" spans="1:19" ht="30.75" hidden="1" thickBot="1" x14ac:dyDescent="0.3">
      <c r="A317" s="40" t="s">
        <v>455</v>
      </c>
      <c r="B317" s="69" t="str">
        <f t="shared" si="21"/>
        <v>ERRORES POR PARTE DEL RECURSO HUMANO</v>
      </c>
      <c r="C317" s="140" t="s">
        <v>456</v>
      </c>
      <c r="D317" s="141">
        <v>13</v>
      </c>
      <c r="E317" s="142">
        <v>21</v>
      </c>
      <c r="F317" s="142">
        <v>17</v>
      </c>
      <c r="G317" s="142">
        <v>16</v>
      </c>
      <c r="H317" s="142">
        <v>13</v>
      </c>
      <c r="I317" s="142">
        <v>6</v>
      </c>
      <c r="J317" s="142">
        <v>9</v>
      </c>
      <c r="K317" s="142">
        <v>7</v>
      </c>
      <c r="L317" s="142">
        <v>9</v>
      </c>
      <c r="M317" s="142">
        <v>9</v>
      </c>
      <c r="N317" s="83">
        <v>6</v>
      </c>
      <c r="O317" s="84">
        <v>11</v>
      </c>
      <c r="P317" s="45">
        <f t="shared" si="22"/>
        <v>137</v>
      </c>
      <c r="Q317" s="54">
        <f t="shared" si="23"/>
        <v>1.3744904603339109E-4</v>
      </c>
      <c r="S317" s="130"/>
    </row>
    <row r="318" spans="1:19" ht="45.75" hidden="1" thickBot="1" x14ac:dyDescent="0.3">
      <c r="A318" s="40" t="s">
        <v>444</v>
      </c>
      <c r="B318" s="69" t="str">
        <f t="shared" si="21"/>
        <v>INCREMENTO DE TARIFAS EN PLANES DE MEDICINA PREPAGADA Y/ O PLANES VOLUNTARIOS DE SALUD</v>
      </c>
      <c r="C318" s="140" t="s">
        <v>935</v>
      </c>
      <c r="D318" s="141">
        <v>44</v>
      </c>
      <c r="E318" s="142">
        <v>14</v>
      </c>
      <c r="F318" s="142">
        <v>15</v>
      </c>
      <c r="G318" s="142">
        <v>9</v>
      </c>
      <c r="H318" s="142">
        <v>13</v>
      </c>
      <c r="I318" s="142">
        <v>7</v>
      </c>
      <c r="J318" s="142">
        <v>8</v>
      </c>
      <c r="K318" s="142">
        <v>6</v>
      </c>
      <c r="L318" s="142">
        <v>5</v>
      </c>
      <c r="M318" s="142">
        <v>3</v>
      </c>
      <c r="N318" s="83">
        <v>5</v>
      </c>
      <c r="O318" s="84">
        <v>5</v>
      </c>
      <c r="P318" s="45">
        <f t="shared" si="22"/>
        <v>134</v>
      </c>
      <c r="Q318" s="54">
        <f t="shared" si="23"/>
        <v>1.3443921290857231E-4</v>
      </c>
      <c r="S318" s="130"/>
    </row>
    <row r="319" spans="1:19" ht="30.75" hidden="1" thickBot="1" x14ac:dyDescent="0.3">
      <c r="A319" s="40" t="s">
        <v>431</v>
      </c>
      <c r="B319" s="69" t="str">
        <f t="shared" si="21"/>
        <v>NEGACIÓN DE LA REFERENCIA O CONTRARREFERENCIA</v>
      </c>
      <c r="C319" s="140" t="s">
        <v>936</v>
      </c>
      <c r="D319" s="141">
        <v>5</v>
      </c>
      <c r="E319" s="142">
        <v>11</v>
      </c>
      <c r="F319" s="142">
        <v>12</v>
      </c>
      <c r="G319" s="142">
        <v>9</v>
      </c>
      <c r="H319" s="142">
        <v>15</v>
      </c>
      <c r="I319" s="142">
        <v>7</v>
      </c>
      <c r="J319" s="142">
        <v>11</v>
      </c>
      <c r="K319" s="142">
        <v>9</v>
      </c>
      <c r="L319" s="142">
        <v>18</v>
      </c>
      <c r="M319" s="142">
        <v>14</v>
      </c>
      <c r="N319" s="83">
        <v>9</v>
      </c>
      <c r="O319" s="84">
        <v>14</v>
      </c>
      <c r="P319" s="45">
        <f t="shared" si="22"/>
        <v>134</v>
      </c>
      <c r="Q319" s="54">
        <f t="shared" si="23"/>
        <v>1.3443921290857231E-4</v>
      </c>
      <c r="S319" s="130"/>
    </row>
    <row r="320" spans="1:19" ht="30.75" hidden="1" thickBot="1" x14ac:dyDescent="0.3">
      <c r="A320" s="40" t="s">
        <v>434</v>
      </c>
      <c r="B320" s="69" t="str">
        <f t="shared" si="21"/>
        <v>INCONFORMIDAD POR RESPUESTA DERECHO DE PETICIÓN</v>
      </c>
      <c r="C320" s="140" t="s">
        <v>937</v>
      </c>
      <c r="D320" s="141">
        <v>16</v>
      </c>
      <c r="E320" s="142">
        <v>11</v>
      </c>
      <c r="F320" s="142">
        <v>14</v>
      </c>
      <c r="G320" s="142">
        <v>18</v>
      </c>
      <c r="H320" s="142">
        <v>11</v>
      </c>
      <c r="I320" s="142">
        <v>6</v>
      </c>
      <c r="J320" s="142">
        <v>12</v>
      </c>
      <c r="K320" s="142">
        <v>13</v>
      </c>
      <c r="L320" s="142">
        <v>13</v>
      </c>
      <c r="M320" s="142">
        <v>7</v>
      </c>
      <c r="N320" s="83">
        <v>7</v>
      </c>
      <c r="O320" s="84">
        <v>5</v>
      </c>
      <c r="P320" s="45">
        <f t="shared" si="22"/>
        <v>133</v>
      </c>
      <c r="Q320" s="54">
        <f t="shared" si="23"/>
        <v>1.3343593520029939E-4</v>
      </c>
      <c r="S320" s="130"/>
    </row>
    <row r="321" spans="1:19" ht="45.75" hidden="1" thickBot="1" x14ac:dyDescent="0.3">
      <c r="A321" s="40" t="s">
        <v>515</v>
      </c>
      <c r="B321" s="69" t="str">
        <f t="shared" si="21"/>
        <v>NEGACIÓN PARA LA PRESTACIÓN DE SERVICIOS DE PROMOCIÓN Y PREVENCIÓN</v>
      </c>
      <c r="C321" s="140" t="s">
        <v>938</v>
      </c>
      <c r="D321" s="141">
        <v>8</v>
      </c>
      <c r="E321" s="142">
        <v>9</v>
      </c>
      <c r="F321" s="142">
        <v>7</v>
      </c>
      <c r="G321" s="142">
        <v>13</v>
      </c>
      <c r="H321" s="142">
        <v>19</v>
      </c>
      <c r="I321" s="142">
        <v>12</v>
      </c>
      <c r="J321" s="142">
        <v>17</v>
      </c>
      <c r="K321" s="142">
        <v>11</v>
      </c>
      <c r="L321" s="142">
        <v>11</v>
      </c>
      <c r="M321" s="142">
        <v>4</v>
      </c>
      <c r="N321" s="83">
        <v>13</v>
      </c>
      <c r="O321" s="84">
        <v>6</v>
      </c>
      <c r="P321" s="45">
        <f t="shared" si="22"/>
        <v>130</v>
      </c>
      <c r="Q321" s="54">
        <f t="shared" si="23"/>
        <v>1.3042610207548058E-4</v>
      </c>
      <c r="S321" s="130"/>
    </row>
    <row r="322" spans="1:19" ht="30.75" hidden="1" thickBot="1" x14ac:dyDescent="0.3">
      <c r="A322" s="40" t="s">
        <v>500</v>
      </c>
      <c r="B322" s="69" t="str">
        <f t="shared" si="21"/>
        <v>NEGACIÓN DE LA CONSULTA MÉDICA ESPECIALIZADA DE PEDIATRÍA</v>
      </c>
      <c r="C322" s="140" t="s">
        <v>939</v>
      </c>
      <c r="D322" s="141">
        <v>3</v>
      </c>
      <c r="E322" s="142">
        <v>9</v>
      </c>
      <c r="F322" s="142">
        <v>12</v>
      </c>
      <c r="G322" s="142">
        <v>8</v>
      </c>
      <c r="H322" s="142">
        <v>13</v>
      </c>
      <c r="I322" s="142">
        <v>8</v>
      </c>
      <c r="J322" s="142">
        <v>19</v>
      </c>
      <c r="K322" s="142">
        <v>9</v>
      </c>
      <c r="L322" s="142">
        <v>16</v>
      </c>
      <c r="M322" s="142">
        <v>14</v>
      </c>
      <c r="N322" s="83">
        <v>14</v>
      </c>
      <c r="O322" s="84">
        <v>5</v>
      </c>
      <c r="P322" s="45">
        <f t="shared" si="22"/>
        <v>130</v>
      </c>
      <c r="Q322" s="54">
        <f t="shared" si="23"/>
        <v>1.3042610207548058E-4</v>
      </c>
      <c r="S322" s="130"/>
    </row>
    <row r="323" spans="1:19" ht="60.75" hidden="1" thickBot="1" x14ac:dyDescent="0.3">
      <c r="A323" s="40" t="s">
        <v>499</v>
      </c>
      <c r="B323" s="69" t="str">
        <f t="shared" si="21"/>
        <v>EXIGENCIA DE FOTOCOPIAS O AUTENTICACIONES DE ALGÚN DOCUMENTO PARA LA PRESTACIÓN DE LOS SERVICIOS DE SALUD</v>
      </c>
      <c r="C323" s="140" t="s">
        <v>940</v>
      </c>
      <c r="D323" s="141">
        <v>17</v>
      </c>
      <c r="E323" s="142">
        <v>11</v>
      </c>
      <c r="F323" s="142">
        <v>18</v>
      </c>
      <c r="G323" s="142">
        <v>7</v>
      </c>
      <c r="H323" s="142">
        <v>16</v>
      </c>
      <c r="I323" s="142">
        <v>7</v>
      </c>
      <c r="J323" s="142">
        <v>13</v>
      </c>
      <c r="K323" s="142">
        <v>5</v>
      </c>
      <c r="L323" s="142">
        <v>8</v>
      </c>
      <c r="M323" s="142">
        <v>6</v>
      </c>
      <c r="N323" s="83">
        <v>4</v>
      </c>
      <c r="O323" s="84">
        <v>9</v>
      </c>
      <c r="P323" s="45">
        <f t="shared" si="22"/>
        <v>121</v>
      </c>
      <c r="Q323" s="54">
        <f t="shared" si="23"/>
        <v>1.2139660270102425E-4</v>
      </c>
      <c r="S323" s="130"/>
    </row>
    <row r="324" spans="1:19" ht="45.75" hidden="1" thickBot="1" x14ac:dyDescent="0.3">
      <c r="A324" s="40" t="s">
        <v>452</v>
      </c>
      <c r="B324" s="69" t="str">
        <f t="shared" si="21"/>
        <v>DEMORA DE LA AUTORIZACIÓN DE SERVICIOS DE ALTO COSTO PARA: ENFERMEDADES RARAS O HUÉRFANAS</v>
      </c>
      <c r="C324" s="140" t="s">
        <v>941</v>
      </c>
      <c r="D324" s="141">
        <v>17</v>
      </c>
      <c r="E324" s="142">
        <v>16</v>
      </c>
      <c r="F324" s="142">
        <v>13</v>
      </c>
      <c r="G324" s="142">
        <v>17</v>
      </c>
      <c r="H324" s="142">
        <v>11</v>
      </c>
      <c r="I324" s="142">
        <v>5</v>
      </c>
      <c r="J324" s="142">
        <v>7</v>
      </c>
      <c r="K324" s="142">
        <v>10</v>
      </c>
      <c r="L324" s="142">
        <v>8</v>
      </c>
      <c r="M324" s="142">
        <v>8</v>
      </c>
      <c r="N324" s="83">
        <v>2</v>
      </c>
      <c r="O324" s="84">
        <v>6</v>
      </c>
      <c r="P324" s="45">
        <f t="shared" si="22"/>
        <v>120</v>
      </c>
      <c r="Q324" s="54">
        <f t="shared" si="23"/>
        <v>1.2039332499275132E-4</v>
      </c>
      <c r="S324" s="130"/>
    </row>
    <row r="325" spans="1:19" ht="30.75" hidden="1" thickBot="1" x14ac:dyDescent="0.3">
      <c r="A325" s="40" t="s">
        <v>457</v>
      </c>
      <c r="B325" s="69" t="str">
        <f t="shared" si="21"/>
        <v>NO ACTIVO EN BASE DE DATOS DEL FOSYGA (BDUA)</v>
      </c>
      <c r="C325" s="140" t="s">
        <v>458</v>
      </c>
      <c r="D325" s="141">
        <v>36</v>
      </c>
      <c r="E325" s="142">
        <v>5</v>
      </c>
      <c r="F325" s="142">
        <v>14</v>
      </c>
      <c r="G325" s="142">
        <v>16</v>
      </c>
      <c r="H325" s="142">
        <v>3</v>
      </c>
      <c r="I325" s="142">
        <v>8</v>
      </c>
      <c r="J325" s="142">
        <v>8</v>
      </c>
      <c r="K325" s="142">
        <v>5</v>
      </c>
      <c r="L325" s="142">
        <v>5</v>
      </c>
      <c r="M325" s="142">
        <v>5</v>
      </c>
      <c r="N325" s="83">
        <v>4</v>
      </c>
      <c r="O325" s="84">
        <v>7</v>
      </c>
      <c r="P325" s="45">
        <f t="shared" si="22"/>
        <v>116</v>
      </c>
      <c r="Q325" s="54">
        <f t="shared" si="23"/>
        <v>1.163802141596596E-4</v>
      </c>
      <c r="S325" s="130"/>
    </row>
    <row r="326" spans="1:19" ht="45.75" hidden="1" thickBot="1" x14ac:dyDescent="0.3">
      <c r="A326" s="40" t="s">
        <v>412</v>
      </c>
      <c r="B326" s="69" t="str">
        <f t="shared" si="21"/>
        <v>DEFICIENTE PERCEPCIÓN SOBRE LA INFRAESTRUCTURA FÍSICA DEL LUGAR CAMAS, SILLAS, CAMILLAS</v>
      </c>
      <c r="C326" s="140" t="s">
        <v>942</v>
      </c>
      <c r="D326" s="141">
        <v>6</v>
      </c>
      <c r="E326" s="142">
        <v>7</v>
      </c>
      <c r="F326" s="142">
        <v>18</v>
      </c>
      <c r="G326" s="142">
        <v>6</v>
      </c>
      <c r="H326" s="142">
        <v>9</v>
      </c>
      <c r="I326" s="142">
        <v>10</v>
      </c>
      <c r="J326" s="142">
        <v>11</v>
      </c>
      <c r="K326" s="142">
        <v>11</v>
      </c>
      <c r="L326" s="142">
        <v>11</v>
      </c>
      <c r="M326" s="142">
        <v>7</v>
      </c>
      <c r="N326" s="83">
        <v>13</v>
      </c>
      <c r="O326" s="84">
        <v>6</v>
      </c>
      <c r="P326" s="45">
        <f t="shared" si="22"/>
        <v>115</v>
      </c>
      <c r="Q326" s="54">
        <f t="shared" si="23"/>
        <v>1.1537693645138668E-4</v>
      </c>
      <c r="S326" s="130"/>
    </row>
    <row r="327" spans="1:19" ht="30.75" hidden="1" thickBot="1" x14ac:dyDescent="0.3">
      <c r="A327" s="40" t="s">
        <v>754</v>
      </c>
      <c r="B327" s="69" t="str">
        <f t="shared" si="21"/>
        <v>FALLAS EN EL MANEJO DEL CONOCIMIENTO INFORMADO</v>
      </c>
      <c r="C327" s="140" t="s">
        <v>763</v>
      </c>
      <c r="D327" s="141"/>
      <c r="E327" s="142">
        <v>3</v>
      </c>
      <c r="F327" s="142">
        <v>2</v>
      </c>
      <c r="G327" s="142">
        <v>4</v>
      </c>
      <c r="H327" s="142"/>
      <c r="I327" s="142">
        <v>11</v>
      </c>
      <c r="J327" s="142">
        <v>8</v>
      </c>
      <c r="K327" s="142">
        <v>18</v>
      </c>
      <c r="L327" s="142">
        <v>9</v>
      </c>
      <c r="M327" s="142">
        <v>21</v>
      </c>
      <c r="N327" s="83">
        <v>17</v>
      </c>
      <c r="O327" s="84">
        <v>17</v>
      </c>
      <c r="P327" s="45">
        <f t="shared" si="22"/>
        <v>110</v>
      </c>
      <c r="Q327" s="54">
        <f t="shared" si="23"/>
        <v>1.1036054791002205E-4</v>
      </c>
      <c r="S327" s="130"/>
    </row>
    <row r="328" spans="1:19" ht="60.75" hidden="1" thickBot="1" x14ac:dyDescent="0.3">
      <c r="A328" s="40" t="s">
        <v>442</v>
      </c>
      <c r="B328" s="69" t="str">
        <f t="shared" si="21"/>
        <v>FALTA DE OPORTUNIDAD EN LA ASIGNACIÓN DE CITAS DE CONSULTA MÉDICA ESPECIALIZADA PARA ENFERMEDADES RARAS O HUÉRFANAS</v>
      </c>
      <c r="C328" s="140" t="s">
        <v>943</v>
      </c>
      <c r="D328" s="141">
        <v>5</v>
      </c>
      <c r="E328" s="142">
        <v>7</v>
      </c>
      <c r="F328" s="142">
        <v>13</v>
      </c>
      <c r="G328" s="142">
        <v>8</v>
      </c>
      <c r="H328" s="142">
        <v>3</v>
      </c>
      <c r="I328" s="142">
        <v>8</v>
      </c>
      <c r="J328" s="142">
        <v>13</v>
      </c>
      <c r="K328" s="142">
        <v>10</v>
      </c>
      <c r="L328" s="142">
        <v>11</v>
      </c>
      <c r="M328" s="142">
        <v>11</v>
      </c>
      <c r="N328" s="83">
        <v>11</v>
      </c>
      <c r="O328" s="84">
        <v>9</v>
      </c>
      <c r="P328" s="45">
        <f t="shared" si="22"/>
        <v>109</v>
      </c>
      <c r="Q328" s="54">
        <f t="shared" si="23"/>
        <v>1.0935727020174911E-4</v>
      </c>
      <c r="S328" s="130"/>
    </row>
    <row r="329" spans="1:19" ht="30.75" hidden="1" thickBot="1" x14ac:dyDescent="0.3">
      <c r="A329" s="40" t="s">
        <v>482</v>
      </c>
      <c r="B329" s="69" t="str">
        <f t="shared" si="21"/>
        <v>INCONSISTENCIAS EN EL COBRO DE MULTAS POR INASISTENCIA</v>
      </c>
      <c r="C329" s="140" t="s">
        <v>404</v>
      </c>
      <c r="D329" s="141">
        <v>6</v>
      </c>
      <c r="E329" s="142">
        <v>9</v>
      </c>
      <c r="F329" s="142">
        <v>15</v>
      </c>
      <c r="G329" s="142">
        <v>11</v>
      </c>
      <c r="H329" s="142">
        <v>3</v>
      </c>
      <c r="I329" s="142">
        <v>4</v>
      </c>
      <c r="J329" s="142">
        <v>11</v>
      </c>
      <c r="K329" s="142">
        <v>14</v>
      </c>
      <c r="L329" s="142">
        <v>15</v>
      </c>
      <c r="M329" s="142">
        <v>6</v>
      </c>
      <c r="N329" s="83">
        <v>7</v>
      </c>
      <c r="O329" s="84">
        <v>5</v>
      </c>
      <c r="P329" s="45">
        <f t="shared" si="22"/>
        <v>106</v>
      </c>
      <c r="Q329" s="54">
        <f t="shared" si="23"/>
        <v>1.0634743707693033E-4</v>
      </c>
      <c r="S329" s="130"/>
    </row>
    <row r="330" spans="1:19" ht="15.75" hidden="1" thickBot="1" x14ac:dyDescent="0.3">
      <c r="A330" s="40" t="s">
        <v>403</v>
      </c>
      <c r="B330" s="69" t="str">
        <f t="shared" si="21"/>
        <v>NEGACIÓN DE LA HOSPITALIZACIÓN</v>
      </c>
      <c r="C330" s="140" t="s">
        <v>944</v>
      </c>
      <c r="D330" s="141">
        <v>7</v>
      </c>
      <c r="E330" s="142">
        <v>7</v>
      </c>
      <c r="F330" s="142">
        <v>7</v>
      </c>
      <c r="G330" s="142">
        <v>11</v>
      </c>
      <c r="H330" s="142">
        <v>4</v>
      </c>
      <c r="I330" s="142">
        <v>9</v>
      </c>
      <c r="J330" s="142">
        <v>7</v>
      </c>
      <c r="K330" s="142">
        <v>13</v>
      </c>
      <c r="L330" s="142">
        <v>12</v>
      </c>
      <c r="M330" s="142">
        <v>10</v>
      </c>
      <c r="N330" s="83">
        <v>7</v>
      </c>
      <c r="O330" s="84">
        <v>12</v>
      </c>
      <c r="P330" s="45">
        <f t="shared" si="22"/>
        <v>106</v>
      </c>
      <c r="Q330" s="54">
        <f t="shared" si="23"/>
        <v>1.0634743707693033E-4</v>
      </c>
      <c r="S330" s="130"/>
    </row>
    <row r="331" spans="1:19" ht="30.75" hidden="1" thickBot="1" x14ac:dyDescent="0.3">
      <c r="A331" s="40" t="s">
        <v>475</v>
      </c>
      <c r="B331" s="69" t="str">
        <f t="shared" si="21"/>
        <v>FALTA DE OPORTUNIDAD POR EL VENCIMIENTO DE LAS AUTORIZACIONES</v>
      </c>
      <c r="C331" s="140" t="s">
        <v>476</v>
      </c>
      <c r="D331" s="141">
        <v>6</v>
      </c>
      <c r="E331" s="142">
        <v>9</v>
      </c>
      <c r="F331" s="142">
        <v>9</v>
      </c>
      <c r="G331" s="142">
        <v>13</v>
      </c>
      <c r="H331" s="142">
        <v>7</v>
      </c>
      <c r="I331" s="142">
        <v>8</v>
      </c>
      <c r="J331" s="142">
        <v>8</v>
      </c>
      <c r="K331" s="142">
        <v>6</v>
      </c>
      <c r="L331" s="142">
        <v>1</v>
      </c>
      <c r="M331" s="142">
        <v>6</v>
      </c>
      <c r="N331" s="83">
        <v>11</v>
      </c>
      <c r="O331" s="84">
        <v>17</v>
      </c>
      <c r="P331" s="45">
        <f t="shared" si="22"/>
        <v>101</v>
      </c>
      <c r="Q331" s="54">
        <f t="shared" si="23"/>
        <v>1.013310485355657E-4</v>
      </c>
      <c r="S331" s="130"/>
    </row>
    <row r="332" spans="1:19" ht="30.75" hidden="1" thickBot="1" x14ac:dyDescent="0.3">
      <c r="A332" s="40" t="s">
        <v>501</v>
      </c>
      <c r="B332" s="69" t="str">
        <f t="shared" si="21"/>
        <v>NEGACIÓN DE LA AUTORIZACIÓN DE PROCEDIMIENTOS NO-POS</v>
      </c>
      <c r="C332" s="140" t="s">
        <v>945</v>
      </c>
      <c r="D332" s="141">
        <v>4</v>
      </c>
      <c r="E332" s="142">
        <v>12</v>
      </c>
      <c r="F332" s="142">
        <v>13</v>
      </c>
      <c r="G332" s="142">
        <v>9</v>
      </c>
      <c r="H332" s="142">
        <v>8</v>
      </c>
      <c r="I332" s="142">
        <v>6</v>
      </c>
      <c r="J332" s="142">
        <v>4</v>
      </c>
      <c r="K332" s="142">
        <v>5</v>
      </c>
      <c r="L332" s="142">
        <v>11</v>
      </c>
      <c r="M332" s="142">
        <v>8</v>
      </c>
      <c r="N332" s="83">
        <v>6</v>
      </c>
      <c r="O332" s="84">
        <v>15</v>
      </c>
      <c r="P332" s="45">
        <f t="shared" si="22"/>
        <v>101</v>
      </c>
      <c r="Q332" s="54">
        <f t="shared" si="23"/>
        <v>1.013310485355657E-4</v>
      </c>
      <c r="S332" s="130"/>
    </row>
    <row r="333" spans="1:19" ht="15.75" hidden="1" thickBot="1" x14ac:dyDescent="0.3">
      <c r="A333" s="40" t="s">
        <v>506</v>
      </c>
      <c r="B333" s="69" t="str">
        <f t="shared" si="21"/>
        <v>CONSENTIMIENTO INFORMADO</v>
      </c>
      <c r="C333" s="140" t="s">
        <v>507</v>
      </c>
      <c r="D333" s="141">
        <v>7</v>
      </c>
      <c r="E333" s="142">
        <v>7</v>
      </c>
      <c r="F333" s="142">
        <v>10</v>
      </c>
      <c r="G333" s="142">
        <v>4</v>
      </c>
      <c r="H333" s="142">
        <v>15</v>
      </c>
      <c r="I333" s="142">
        <v>7</v>
      </c>
      <c r="J333" s="142">
        <v>16</v>
      </c>
      <c r="K333" s="142">
        <v>12</v>
      </c>
      <c r="L333" s="142">
        <v>2</v>
      </c>
      <c r="M333" s="142">
        <v>6</v>
      </c>
      <c r="N333" s="83">
        <v>8</v>
      </c>
      <c r="O333" s="84">
        <v>3</v>
      </c>
      <c r="P333" s="45">
        <f t="shared" si="22"/>
        <v>97</v>
      </c>
      <c r="Q333" s="54">
        <f t="shared" si="23"/>
        <v>9.7317937702473981E-5</v>
      </c>
      <c r="S333" s="130"/>
    </row>
    <row r="334" spans="1:19" ht="75.75" hidden="1" thickBot="1" x14ac:dyDescent="0.3">
      <c r="A334" s="40" t="s">
        <v>469</v>
      </c>
      <c r="B334" s="69" t="str">
        <f t="shared" si="21"/>
        <v>NEGACIÓN DE AUTORIZACIÓN DE SERVICIOS MÉDICOS Y PRESTACIONES DE SALUD POR EXCLUSIONES EN PLANES DE MEDICINA PREPAGADA Y/ O PLANES VOLUNTARIOS DE SALUD</v>
      </c>
      <c r="C334" s="140" t="s">
        <v>946</v>
      </c>
      <c r="D334" s="141">
        <v>5</v>
      </c>
      <c r="E334" s="142">
        <v>7</v>
      </c>
      <c r="F334" s="142">
        <v>12</v>
      </c>
      <c r="G334" s="142">
        <v>10</v>
      </c>
      <c r="H334" s="142">
        <v>3</v>
      </c>
      <c r="I334" s="142">
        <v>2</v>
      </c>
      <c r="J334" s="142">
        <v>5</v>
      </c>
      <c r="K334" s="142">
        <v>15</v>
      </c>
      <c r="L334" s="142">
        <v>4</v>
      </c>
      <c r="M334" s="142">
        <v>10</v>
      </c>
      <c r="N334" s="83">
        <v>11</v>
      </c>
      <c r="O334" s="84">
        <v>6</v>
      </c>
      <c r="P334" s="45">
        <f t="shared" si="22"/>
        <v>90</v>
      </c>
      <c r="Q334" s="54">
        <f t="shared" si="23"/>
        <v>9.0294993744563485E-5</v>
      </c>
      <c r="S334" s="130"/>
    </row>
    <row r="335" spans="1:19" ht="30.75" hidden="1" thickBot="1" x14ac:dyDescent="0.3">
      <c r="A335" s="40" t="s">
        <v>464</v>
      </c>
      <c r="B335" s="69" t="str">
        <f t="shared" si="21"/>
        <v>BENEFICIARIOS QUE NO CORRESPONDEN</v>
      </c>
      <c r="C335" s="140" t="s">
        <v>465</v>
      </c>
      <c r="D335" s="141">
        <v>10</v>
      </c>
      <c r="E335" s="142">
        <v>13</v>
      </c>
      <c r="F335" s="142">
        <v>10</v>
      </c>
      <c r="G335" s="142">
        <v>5</v>
      </c>
      <c r="H335" s="142">
        <v>7</v>
      </c>
      <c r="I335" s="142">
        <v>10</v>
      </c>
      <c r="J335" s="142">
        <v>3</v>
      </c>
      <c r="K335" s="142">
        <v>9</v>
      </c>
      <c r="L335" s="142">
        <v>6</v>
      </c>
      <c r="M335" s="142">
        <v>5</v>
      </c>
      <c r="N335" s="83">
        <v>7</v>
      </c>
      <c r="O335" s="84">
        <v>2</v>
      </c>
      <c r="P335" s="45">
        <f t="shared" si="22"/>
        <v>87</v>
      </c>
      <c r="Q335" s="54">
        <f t="shared" si="23"/>
        <v>8.7285160619744707E-5</v>
      </c>
      <c r="S335" s="130"/>
    </row>
    <row r="336" spans="1:19" ht="60.75" hidden="1" thickBot="1" x14ac:dyDescent="0.3">
      <c r="A336" s="40" t="s">
        <v>532</v>
      </c>
      <c r="B336" s="69" t="str">
        <f t="shared" si="21"/>
        <v>FALTA DE OPORTUNIDAD EN LA RESPUESTA DEL COMITÉ TÉCNICO CIENTÍFICO PARA MEDICAMENTOS NO-POS</v>
      </c>
      <c r="C336" s="140" t="s">
        <v>947</v>
      </c>
      <c r="D336" s="141">
        <v>9</v>
      </c>
      <c r="E336" s="142">
        <v>5</v>
      </c>
      <c r="F336" s="142">
        <v>10</v>
      </c>
      <c r="G336" s="142">
        <v>11</v>
      </c>
      <c r="H336" s="142">
        <v>4</v>
      </c>
      <c r="I336" s="142">
        <v>6</v>
      </c>
      <c r="J336" s="142">
        <v>8</v>
      </c>
      <c r="K336" s="142">
        <v>2</v>
      </c>
      <c r="L336" s="142">
        <v>6</v>
      </c>
      <c r="M336" s="142">
        <v>7</v>
      </c>
      <c r="N336" s="83">
        <v>4</v>
      </c>
      <c r="O336" s="84">
        <v>14</v>
      </c>
      <c r="P336" s="45">
        <f t="shared" si="22"/>
        <v>86</v>
      </c>
      <c r="Q336" s="54">
        <f t="shared" si="23"/>
        <v>8.628188291147178E-5</v>
      </c>
      <c r="S336" s="130"/>
    </row>
    <row r="337" spans="1:19" ht="15.75" hidden="1" thickBot="1" x14ac:dyDescent="0.3">
      <c r="A337" s="40" t="s">
        <v>557</v>
      </c>
      <c r="B337" s="69" t="str">
        <f t="shared" si="21"/>
        <v>ELUCIÓN Y/O EVASIÓN DE APORTES</v>
      </c>
      <c r="C337" s="140" t="s">
        <v>948</v>
      </c>
      <c r="D337" s="141">
        <v>3</v>
      </c>
      <c r="E337" s="142">
        <v>11</v>
      </c>
      <c r="F337" s="142">
        <v>4</v>
      </c>
      <c r="G337" s="142">
        <v>11</v>
      </c>
      <c r="H337" s="142">
        <v>8</v>
      </c>
      <c r="I337" s="142">
        <v>6</v>
      </c>
      <c r="J337" s="142">
        <v>10</v>
      </c>
      <c r="K337" s="142">
        <v>7</v>
      </c>
      <c r="L337" s="142">
        <v>7</v>
      </c>
      <c r="M337" s="142">
        <v>7</v>
      </c>
      <c r="N337" s="83">
        <v>9</v>
      </c>
      <c r="O337" s="84">
        <v>3</v>
      </c>
      <c r="P337" s="45">
        <f t="shared" si="22"/>
        <v>86</v>
      </c>
      <c r="Q337" s="54">
        <f t="shared" si="23"/>
        <v>8.628188291147178E-5</v>
      </c>
      <c r="S337" s="130"/>
    </row>
    <row r="338" spans="1:19" ht="15.75" hidden="1" thickBot="1" x14ac:dyDescent="0.3">
      <c r="A338" s="40" t="s">
        <v>492</v>
      </c>
      <c r="B338" s="69" t="str">
        <f t="shared" si="21"/>
        <v>FALTA DE PERSONAL ASISTENCIAL</v>
      </c>
      <c r="C338" s="140" t="s">
        <v>949</v>
      </c>
      <c r="D338" s="141">
        <v>4</v>
      </c>
      <c r="E338" s="142">
        <v>6</v>
      </c>
      <c r="F338" s="142">
        <v>9</v>
      </c>
      <c r="G338" s="142">
        <v>3</v>
      </c>
      <c r="H338" s="142">
        <v>3</v>
      </c>
      <c r="I338" s="142">
        <v>5</v>
      </c>
      <c r="J338" s="142">
        <v>3</v>
      </c>
      <c r="K338" s="142">
        <v>11</v>
      </c>
      <c r="L338" s="142">
        <v>6</v>
      </c>
      <c r="M338" s="142">
        <v>12</v>
      </c>
      <c r="N338" s="83">
        <v>7</v>
      </c>
      <c r="O338" s="84">
        <v>15</v>
      </c>
      <c r="P338" s="45">
        <f t="shared" si="22"/>
        <v>84</v>
      </c>
      <c r="Q338" s="54">
        <f t="shared" si="23"/>
        <v>8.4275327494925928E-5</v>
      </c>
      <c r="S338" s="130"/>
    </row>
    <row r="339" spans="1:19" ht="60.75" hidden="1" thickBot="1" x14ac:dyDescent="0.3">
      <c r="A339" s="40" t="s">
        <v>470</v>
      </c>
      <c r="B339" s="69" t="str">
        <f t="shared" si="21"/>
        <v>FALTA DE OPORTUNIDAD EN LA AUTORIZACIÓN DE LA ATENCIÓN EN SALUD DERIVADA DE ACCIDENTE DE TRABAJO Y ENFERMEDAD PROFESIONAL</v>
      </c>
      <c r="C339" s="140" t="s">
        <v>950</v>
      </c>
      <c r="D339" s="141">
        <v>5</v>
      </c>
      <c r="E339" s="142">
        <v>6</v>
      </c>
      <c r="F339" s="142">
        <v>8</v>
      </c>
      <c r="G339" s="142">
        <v>11</v>
      </c>
      <c r="H339" s="142">
        <v>2</v>
      </c>
      <c r="I339" s="142">
        <v>5</v>
      </c>
      <c r="J339" s="142">
        <v>12</v>
      </c>
      <c r="K339" s="142">
        <v>10</v>
      </c>
      <c r="L339" s="142">
        <v>3</v>
      </c>
      <c r="M339" s="142">
        <v>4</v>
      </c>
      <c r="N339" s="83">
        <v>5</v>
      </c>
      <c r="O339" s="84">
        <v>9</v>
      </c>
      <c r="P339" s="45">
        <f t="shared" si="22"/>
        <v>80</v>
      </c>
      <c r="Q339" s="54">
        <f t="shared" si="23"/>
        <v>8.026221666183421E-5</v>
      </c>
      <c r="S339" s="130"/>
    </row>
    <row r="340" spans="1:19" ht="60.75" hidden="1" thickBot="1" x14ac:dyDescent="0.3">
      <c r="A340" s="40" t="s">
        <v>480</v>
      </c>
      <c r="B340" s="69" t="str">
        <f t="shared" si="21"/>
        <v>FALTA DE DISPONIBILIDAD DE CAMAS DEL SERVICIO SOLICITADO EN LA RED DE LA EAPB O DEL ENTE TERRITORIAL (REFERENCIA-CONTRARREFERENCIA)</v>
      </c>
      <c r="C340" s="140" t="s">
        <v>481</v>
      </c>
      <c r="D340" s="141">
        <v>4</v>
      </c>
      <c r="E340" s="142">
        <v>5</v>
      </c>
      <c r="F340" s="142">
        <v>9</v>
      </c>
      <c r="G340" s="142">
        <v>10</v>
      </c>
      <c r="H340" s="142">
        <v>12</v>
      </c>
      <c r="I340" s="142">
        <v>8</v>
      </c>
      <c r="J340" s="142">
        <v>5</v>
      </c>
      <c r="K340" s="142">
        <v>8</v>
      </c>
      <c r="L340" s="142">
        <v>7</v>
      </c>
      <c r="M340" s="142">
        <v>3</v>
      </c>
      <c r="N340" s="83">
        <v>5</v>
      </c>
      <c r="O340" s="84">
        <v>3</v>
      </c>
      <c r="P340" s="45">
        <f t="shared" si="22"/>
        <v>79</v>
      </c>
      <c r="Q340" s="54">
        <f t="shared" si="23"/>
        <v>7.9258938953561284E-5</v>
      </c>
      <c r="S340" s="130"/>
    </row>
    <row r="341" spans="1:19" ht="45.75" hidden="1" thickBot="1" x14ac:dyDescent="0.3">
      <c r="A341" s="40" t="s">
        <v>533</v>
      </c>
      <c r="B341" s="69" t="str">
        <f t="shared" si="21"/>
        <v>MALA O DEFICIENTE INFORMACIÓN SOBRE PROGRAMAS DE PROMOCIÓN Y PREVENCIÓN</v>
      </c>
      <c r="C341" s="140" t="s">
        <v>951</v>
      </c>
      <c r="D341" s="141">
        <v>2</v>
      </c>
      <c r="E341" s="142">
        <v>7</v>
      </c>
      <c r="F341" s="142">
        <v>4</v>
      </c>
      <c r="G341" s="142">
        <v>5</v>
      </c>
      <c r="H341" s="142">
        <v>8</v>
      </c>
      <c r="I341" s="142">
        <v>4</v>
      </c>
      <c r="J341" s="142">
        <v>9</v>
      </c>
      <c r="K341" s="142">
        <v>18</v>
      </c>
      <c r="L341" s="142">
        <v>10</v>
      </c>
      <c r="M341" s="142">
        <v>5</v>
      </c>
      <c r="N341" s="83">
        <v>2</v>
      </c>
      <c r="O341" s="84">
        <v>4</v>
      </c>
      <c r="P341" s="45">
        <f t="shared" si="22"/>
        <v>78</v>
      </c>
      <c r="Q341" s="54">
        <f t="shared" si="23"/>
        <v>7.8255661245288358E-5</v>
      </c>
      <c r="S341" s="130"/>
    </row>
    <row r="342" spans="1:19" ht="15.75" hidden="1" thickBot="1" x14ac:dyDescent="0.3">
      <c r="A342" s="40" t="s">
        <v>474</v>
      </c>
      <c r="B342" s="69" t="str">
        <f t="shared" si="21"/>
        <v>COBRO DE UPC ADICIONAL</v>
      </c>
      <c r="C342" s="140" t="s">
        <v>512</v>
      </c>
      <c r="D342" s="141">
        <v>10</v>
      </c>
      <c r="E342" s="142">
        <v>3</v>
      </c>
      <c r="F342" s="142">
        <v>7</v>
      </c>
      <c r="G342" s="142">
        <v>9</v>
      </c>
      <c r="H342" s="142">
        <v>8</v>
      </c>
      <c r="I342" s="142">
        <v>7</v>
      </c>
      <c r="J342" s="142">
        <v>7</v>
      </c>
      <c r="K342" s="142">
        <v>5</v>
      </c>
      <c r="L342" s="142">
        <v>2</v>
      </c>
      <c r="M342" s="142">
        <v>9</v>
      </c>
      <c r="N342" s="83">
        <v>9</v>
      </c>
      <c r="O342" s="84">
        <v>1</v>
      </c>
      <c r="P342" s="45">
        <f t="shared" si="22"/>
        <v>77</v>
      </c>
      <c r="Q342" s="54">
        <f t="shared" si="23"/>
        <v>7.7252383537015432E-5</v>
      </c>
      <c r="S342" s="130"/>
    </row>
    <row r="343" spans="1:19" ht="15.75" hidden="1" thickBot="1" x14ac:dyDescent="0.3">
      <c r="A343" s="40" t="s">
        <v>511</v>
      </c>
      <c r="B343" s="69" t="str">
        <f t="shared" si="21"/>
        <v>MULTIAFILIACIÓN</v>
      </c>
      <c r="C343" s="140" t="s">
        <v>952</v>
      </c>
      <c r="D343" s="141">
        <v>5</v>
      </c>
      <c r="E343" s="142">
        <v>7</v>
      </c>
      <c r="F343" s="142">
        <v>10</v>
      </c>
      <c r="G343" s="142">
        <v>6</v>
      </c>
      <c r="H343" s="142">
        <v>8</v>
      </c>
      <c r="I343" s="142">
        <v>4</v>
      </c>
      <c r="J343" s="142">
        <v>9</v>
      </c>
      <c r="K343" s="142">
        <v>10</v>
      </c>
      <c r="L343" s="142">
        <v>5</v>
      </c>
      <c r="M343" s="142">
        <v>4</v>
      </c>
      <c r="N343" s="83">
        <v>7</v>
      </c>
      <c r="O343" s="84">
        <v>2</v>
      </c>
      <c r="P343" s="45">
        <f t="shared" si="22"/>
        <v>77</v>
      </c>
      <c r="Q343" s="54">
        <f t="shared" si="23"/>
        <v>7.7252383537015432E-5</v>
      </c>
      <c r="S343" s="130"/>
    </row>
    <row r="344" spans="1:19" ht="30.75" hidden="1" thickBot="1" x14ac:dyDescent="0.3">
      <c r="A344" s="40" t="s">
        <v>519</v>
      </c>
      <c r="B344" s="69" t="str">
        <f t="shared" ref="B344:B367" si="24">+C344</f>
        <v>INCONSISTENCIA EN LA BASE DE DATOS: FALLECIDO</v>
      </c>
      <c r="C344" s="140" t="s">
        <v>520</v>
      </c>
      <c r="D344" s="141">
        <v>6</v>
      </c>
      <c r="E344" s="142">
        <v>9</v>
      </c>
      <c r="F344" s="142">
        <v>14</v>
      </c>
      <c r="G344" s="142">
        <v>5</v>
      </c>
      <c r="H344" s="142">
        <v>7</v>
      </c>
      <c r="I344" s="142">
        <v>2</v>
      </c>
      <c r="J344" s="142">
        <v>5</v>
      </c>
      <c r="K344" s="142">
        <v>11</v>
      </c>
      <c r="L344" s="142">
        <v>6</v>
      </c>
      <c r="M344" s="142">
        <v>2</v>
      </c>
      <c r="N344" s="83">
        <v>6</v>
      </c>
      <c r="O344" s="84">
        <v>2</v>
      </c>
      <c r="P344" s="45">
        <f t="shared" ref="P344:P407" si="25">SUM(D344:O344)</f>
        <v>75</v>
      </c>
      <c r="Q344" s="54">
        <f t="shared" ref="Q344:Q367" si="26">+P344/$P$445</f>
        <v>7.524582812046958E-5</v>
      </c>
      <c r="S344" s="130"/>
    </row>
    <row r="345" spans="1:19" ht="30.75" hidden="1" thickBot="1" x14ac:dyDescent="0.3">
      <c r="A345" s="40" t="s">
        <v>463</v>
      </c>
      <c r="B345" s="69" t="str">
        <f t="shared" si="24"/>
        <v>COMPLICACIONES DEL MANEJO MÉDICO QUIRÚRGICO</v>
      </c>
      <c r="C345" s="140" t="s">
        <v>953</v>
      </c>
      <c r="D345" s="141">
        <v>3</v>
      </c>
      <c r="E345" s="142">
        <v>2</v>
      </c>
      <c r="F345" s="142">
        <v>5</v>
      </c>
      <c r="G345" s="142">
        <v>6</v>
      </c>
      <c r="H345" s="142">
        <v>5</v>
      </c>
      <c r="I345" s="142">
        <v>8</v>
      </c>
      <c r="J345" s="142">
        <v>5</v>
      </c>
      <c r="K345" s="142">
        <v>14</v>
      </c>
      <c r="L345" s="142">
        <v>4</v>
      </c>
      <c r="M345" s="142">
        <v>4</v>
      </c>
      <c r="N345" s="83">
        <v>12</v>
      </c>
      <c r="O345" s="84">
        <v>7</v>
      </c>
      <c r="P345" s="45">
        <f t="shared" si="25"/>
        <v>75</v>
      </c>
      <c r="Q345" s="54">
        <f t="shared" si="26"/>
        <v>7.524582812046958E-5</v>
      </c>
      <c r="S345" s="130"/>
    </row>
    <row r="346" spans="1:19" ht="45.75" hidden="1" thickBot="1" x14ac:dyDescent="0.3">
      <c r="A346" s="40" t="s">
        <v>564</v>
      </c>
      <c r="B346" s="69" t="str">
        <f t="shared" si="24"/>
        <v>INCUMPLIMIENTO EN ASISTENCIA TÉCNICA, SEGUIMIENTO Y EVALUACIÓN A IPS</v>
      </c>
      <c r="C346" s="140" t="s">
        <v>954</v>
      </c>
      <c r="D346" s="141">
        <v>3</v>
      </c>
      <c r="E346" s="142">
        <v>1</v>
      </c>
      <c r="F346" s="142">
        <v>4</v>
      </c>
      <c r="G346" s="142">
        <v>2</v>
      </c>
      <c r="H346" s="142">
        <v>3</v>
      </c>
      <c r="I346" s="142">
        <v>9</v>
      </c>
      <c r="J346" s="142">
        <v>11</v>
      </c>
      <c r="K346" s="142">
        <v>10</v>
      </c>
      <c r="L346" s="142">
        <v>10</v>
      </c>
      <c r="M346" s="142">
        <v>9</v>
      </c>
      <c r="N346" s="83">
        <v>3</v>
      </c>
      <c r="O346" s="84">
        <v>4</v>
      </c>
      <c r="P346" s="45">
        <f t="shared" si="25"/>
        <v>69</v>
      </c>
      <c r="Q346" s="54">
        <f t="shared" si="26"/>
        <v>6.922616187083201E-5</v>
      </c>
      <c r="S346" s="130"/>
    </row>
    <row r="347" spans="1:19" ht="45.75" hidden="1" thickBot="1" x14ac:dyDescent="0.3">
      <c r="A347" s="40" t="s">
        <v>513</v>
      </c>
      <c r="B347" s="69" t="str">
        <f t="shared" si="24"/>
        <v>NEGACIÓN DE LA CONSULTA MÉDICA ESPECIALIZADA DE MEDICINA INTERNA DE CARDIOLOGÍA</v>
      </c>
      <c r="C347" s="140" t="s">
        <v>955</v>
      </c>
      <c r="D347" s="141">
        <v>10</v>
      </c>
      <c r="E347" s="142">
        <v>4</v>
      </c>
      <c r="F347" s="142">
        <v>8</v>
      </c>
      <c r="G347" s="142">
        <v>7</v>
      </c>
      <c r="H347" s="142"/>
      <c r="I347" s="142">
        <v>2</v>
      </c>
      <c r="J347" s="142">
        <v>5</v>
      </c>
      <c r="K347" s="142">
        <v>8</v>
      </c>
      <c r="L347" s="142">
        <v>10</v>
      </c>
      <c r="M347" s="142">
        <v>5</v>
      </c>
      <c r="N347" s="83">
        <v>8</v>
      </c>
      <c r="O347" s="84"/>
      <c r="P347" s="45">
        <f t="shared" si="25"/>
        <v>67</v>
      </c>
      <c r="Q347" s="54">
        <f t="shared" si="26"/>
        <v>6.7219606454286157E-5</v>
      </c>
      <c r="S347" s="130"/>
    </row>
    <row r="348" spans="1:19" ht="75.75" hidden="1" thickBot="1" x14ac:dyDescent="0.3">
      <c r="A348" s="40" t="s">
        <v>491</v>
      </c>
      <c r="B348" s="69" t="str">
        <f t="shared" si="24"/>
        <v>NEGACIÓN DE AUTORIZACIÓN DE SERVICIOS MÉDICOS Y PRESTACIONES DE SALUD POR PRE-EXISTENCIA EN PLANES DE MEDICINA PREPAGADA   Y/O PLANES VOLUNTARIOS DE SALUD</v>
      </c>
      <c r="C348" s="140" t="s">
        <v>956</v>
      </c>
      <c r="D348" s="141">
        <v>2</v>
      </c>
      <c r="E348" s="142">
        <v>6</v>
      </c>
      <c r="F348" s="142">
        <v>12</v>
      </c>
      <c r="G348" s="142">
        <v>7</v>
      </c>
      <c r="H348" s="142">
        <v>5</v>
      </c>
      <c r="I348" s="142">
        <v>4</v>
      </c>
      <c r="J348" s="142">
        <v>3</v>
      </c>
      <c r="K348" s="142">
        <v>9</v>
      </c>
      <c r="L348" s="142"/>
      <c r="M348" s="142">
        <v>9</v>
      </c>
      <c r="N348" s="83">
        <v>3</v>
      </c>
      <c r="O348" s="84">
        <v>5</v>
      </c>
      <c r="P348" s="45">
        <f t="shared" si="25"/>
        <v>65</v>
      </c>
      <c r="Q348" s="54">
        <f t="shared" si="26"/>
        <v>6.5213051037740292E-5</v>
      </c>
      <c r="S348" s="130"/>
    </row>
    <row r="349" spans="1:19" ht="45.75" hidden="1" thickBot="1" x14ac:dyDescent="0.3">
      <c r="A349" s="40" t="s">
        <v>498</v>
      </c>
      <c r="B349" s="69" t="str">
        <f t="shared" si="24"/>
        <v>FALLAS EN LA COMUNICACIÓN CON EL CENTRO DE REFERENCIA Y CONTRARREFERENCIA DE LA EAPB</v>
      </c>
      <c r="C349" s="140" t="s">
        <v>957</v>
      </c>
      <c r="D349" s="141">
        <v>3</v>
      </c>
      <c r="E349" s="142">
        <v>2</v>
      </c>
      <c r="F349" s="142">
        <v>5</v>
      </c>
      <c r="G349" s="142">
        <v>6</v>
      </c>
      <c r="H349" s="142">
        <v>6</v>
      </c>
      <c r="I349" s="142">
        <v>4</v>
      </c>
      <c r="J349" s="142">
        <v>7</v>
      </c>
      <c r="K349" s="142">
        <v>10</v>
      </c>
      <c r="L349" s="142">
        <v>12</v>
      </c>
      <c r="M349" s="142">
        <v>3</v>
      </c>
      <c r="N349" s="83">
        <v>3</v>
      </c>
      <c r="O349" s="84">
        <v>4</v>
      </c>
      <c r="P349" s="45">
        <f t="shared" si="25"/>
        <v>65</v>
      </c>
      <c r="Q349" s="54">
        <f t="shared" si="26"/>
        <v>6.5213051037740292E-5</v>
      </c>
      <c r="S349" s="130"/>
    </row>
    <row r="350" spans="1:19" ht="30.75" hidden="1" thickBot="1" x14ac:dyDescent="0.3">
      <c r="A350" s="40" t="s">
        <v>497</v>
      </c>
      <c r="B350" s="69" t="str">
        <f t="shared" si="24"/>
        <v>NEGACIÓN DE AFILIACIÓN POR ERRORES EN LA DOCUMENTACIÓN</v>
      </c>
      <c r="C350" s="140" t="s">
        <v>958</v>
      </c>
      <c r="D350" s="141">
        <v>29</v>
      </c>
      <c r="E350" s="142">
        <v>6</v>
      </c>
      <c r="F350" s="142">
        <v>2</v>
      </c>
      <c r="G350" s="142">
        <v>5</v>
      </c>
      <c r="H350" s="142">
        <v>3</v>
      </c>
      <c r="I350" s="142">
        <v>3</v>
      </c>
      <c r="J350" s="142">
        <v>5</v>
      </c>
      <c r="K350" s="142">
        <v>3</v>
      </c>
      <c r="L350" s="142">
        <v>2</v>
      </c>
      <c r="M350" s="142">
        <v>2</v>
      </c>
      <c r="N350" s="83">
        <v>2</v>
      </c>
      <c r="O350" s="84">
        <v>2</v>
      </c>
      <c r="P350" s="45">
        <f t="shared" si="25"/>
        <v>64</v>
      </c>
      <c r="Q350" s="54">
        <f t="shared" si="26"/>
        <v>6.4209773329467366E-5</v>
      </c>
      <c r="S350" s="130"/>
    </row>
    <row r="351" spans="1:19" ht="45.75" hidden="1" thickBot="1" x14ac:dyDescent="0.3">
      <c r="A351" s="40" t="s">
        <v>493</v>
      </c>
      <c r="B351" s="69" t="str">
        <f t="shared" si="24"/>
        <v>DISPOSITIVOS MÉDICOS O EQUIPOS BIOMÉDICOS DEFECTUOSOS O CON MAL FUNCIONAMIENTO</v>
      </c>
      <c r="C351" s="140" t="s">
        <v>959</v>
      </c>
      <c r="D351" s="141">
        <v>5</v>
      </c>
      <c r="E351" s="142">
        <v>10</v>
      </c>
      <c r="F351" s="142">
        <v>4</v>
      </c>
      <c r="G351" s="142">
        <v>6</v>
      </c>
      <c r="H351" s="142"/>
      <c r="I351" s="142">
        <v>2</v>
      </c>
      <c r="J351" s="142">
        <v>3</v>
      </c>
      <c r="K351" s="142">
        <v>9</v>
      </c>
      <c r="L351" s="142">
        <v>5</v>
      </c>
      <c r="M351" s="142">
        <v>4</v>
      </c>
      <c r="N351" s="83">
        <v>6</v>
      </c>
      <c r="O351" s="84">
        <v>6</v>
      </c>
      <c r="P351" s="45">
        <f t="shared" si="25"/>
        <v>60</v>
      </c>
      <c r="Q351" s="54">
        <f t="shared" si="26"/>
        <v>6.0196662496375661E-5</v>
      </c>
      <c r="S351" s="130"/>
    </row>
    <row r="352" spans="1:19" ht="45.75" hidden="1" thickBot="1" x14ac:dyDescent="0.3">
      <c r="A352" s="40" t="s">
        <v>505</v>
      </c>
      <c r="B352" s="69" t="str">
        <f t="shared" si="24"/>
        <v>NEGACIÓN DE LA CONSULTA MÉDICA ESPECIALIZADA DE MEDICINA INTERNA DE GASTROENTEROLOGÍA</v>
      </c>
      <c r="C352" s="140" t="s">
        <v>960</v>
      </c>
      <c r="D352" s="141">
        <v>3</v>
      </c>
      <c r="E352" s="142">
        <v>1</v>
      </c>
      <c r="F352" s="142">
        <v>7</v>
      </c>
      <c r="G352" s="142">
        <v>2</v>
      </c>
      <c r="H352" s="142">
        <v>4</v>
      </c>
      <c r="I352" s="142">
        <v>4</v>
      </c>
      <c r="J352" s="142">
        <v>4</v>
      </c>
      <c r="K352" s="142">
        <v>9</v>
      </c>
      <c r="L352" s="142">
        <v>8</v>
      </c>
      <c r="M352" s="142">
        <v>7</v>
      </c>
      <c r="N352" s="83">
        <v>6</v>
      </c>
      <c r="O352" s="84">
        <v>4</v>
      </c>
      <c r="P352" s="45">
        <f t="shared" si="25"/>
        <v>59</v>
      </c>
      <c r="Q352" s="54">
        <f t="shared" si="26"/>
        <v>5.9193384788102728E-5</v>
      </c>
      <c r="S352" s="130"/>
    </row>
    <row r="353" spans="1:19" ht="30.75" hidden="1" thickBot="1" x14ac:dyDescent="0.3">
      <c r="A353" s="40" t="s">
        <v>535</v>
      </c>
      <c r="B353" s="69" t="str">
        <f t="shared" si="24"/>
        <v>INFORMACIÓN SOBRE CONSULTAS MÉDICAS</v>
      </c>
      <c r="C353" s="140" t="s">
        <v>961</v>
      </c>
      <c r="D353" s="141">
        <v>4</v>
      </c>
      <c r="E353" s="142">
        <v>5</v>
      </c>
      <c r="F353" s="142">
        <v>8</v>
      </c>
      <c r="G353" s="142">
        <v>2</v>
      </c>
      <c r="H353" s="142">
        <v>10</v>
      </c>
      <c r="I353" s="142">
        <v>5</v>
      </c>
      <c r="J353" s="142">
        <v>7</v>
      </c>
      <c r="K353" s="142">
        <v>7</v>
      </c>
      <c r="L353" s="142">
        <v>5</v>
      </c>
      <c r="M353" s="142">
        <v>2</v>
      </c>
      <c r="N353" s="83"/>
      <c r="O353" s="84">
        <v>3</v>
      </c>
      <c r="P353" s="45">
        <f t="shared" si="25"/>
        <v>58</v>
      </c>
      <c r="Q353" s="54">
        <f t="shared" si="26"/>
        <v>5.8190107079829802E-5</v>
      </c>
      <c r="S353" s="130"/>
    </row>
    <row r="354" spans="1:19" ht="45.75" hidden="1" thickBot="1" x14ac:dyDescent="0.3">
      <c r="A354" s="40" t="s">
        <v>516</v>
      </c>
      <c r="B354" s="69" t="str">
        <f t="shared" si="24"/>
        <v>NEGACIÓN DE LA AUTORIZACIÓN DE CONSULTAS MÉDICAS SUB-ESPECIALIZADAS</v>
      </c>
      <c r="C354" s="140" t="s">
        <v>962</v>
      </c>
      <c r="D354" s="141">
        <v>5</v>
      </c>
      <c r="E354" s="142">
        <v>6</v>
      </c>
      <c r="F354" s="142">
        <v>5</v>
      </c>
      <c r="G354" s="142">
        <v>5</v>
      </c>
      <c r="H354" s="142">
        <v>7</v>
      </c>
      <c r="I354" s="142">
        <v>7</v>
      </c>
      <c r="J354" s="142">
        <v>8</v>
      </c>
      <c r="K354" s="142">
        <v>7</v>
      </c>
      <c r="L354" s="142">
        <v>2</v>
      </c>
      <c r="M354" s="142">
        <v>2</v>
      </c>
      <c r="N354" s="83">
        <v>1</v>
      </c>
      <c r="O354" s="84">
        <v>3</v>
      </c>
      <c r="P354" s="45">
        <f t="shared" si="25"/>
        <v>58</v>
      </c>
      <c r="Q354" s="54">
        <f t="shared" si="26"/>
        <v>5.8190107079829802E-5</v>
      </c>
      <c r="S354" s="130"/>
    </row>
    <row r="355" spans="1:19" ht="30.75" hidden="1" thickBot="1" x14ac:dyDescent="0.3">
      <c r="A355" s="40" t="s">
        <v>508</v>
      </c>
      <c r="B355" s="69" t="str">
        <f t="shared" si="24"/>
        <v>INCUMPLIMIENTO EN LAS ACCIONES DE SALUD ORAL</v>
      </c>
      <c r="C355" s="140" t="s">
        <v>509</v>
      </c>
      <c r="D355" s="141">
        <v>4</v>
      </c>
      <c r="E355" s="142">
        <v>5</v>
      </c>
      <c r="F355" s="142">
        <v>9</v>
      </c>
      <c r="G355" s="142">
        <v>7</v>
      </c>
      <c r="H355" s="142">
        <v>1</v>
      </c>
      <c r="I355" s="142">
        <v>7</v>
      </c>
      <c r="J355" s="142">
        <v>2</v>
      </c>
      <c r="K355" s="142">
        <v>6</v>
      </c>
      <c r="L355" s="142">
        <v>4</v>
      </c>
      <c r="M355" s="142">
        <v>3</v>
      </c>
      <c r="N355" s="83">
        <v>2</v>
      </c>
      <c r="O355" s="84">
        <v>6</v>
      </c>
      <c r="P355" s="45">
        <f t="shared" si="25"/>
        <v>56</v>
      </c>
      <c r="Q355" s="54">
        <f t="shared" si="26"/>
        <v>5.618355166328395E-5</v>
      </c>
      <c r="S355" s="130"/>
    </row>
    <row r="356" spans="1:19" ht="30.75" hidden="1" thickBot="1" x14ac:dyDescent="0.3">
      <c r="A356" s="40" t="s">
        <v>523</v>
      </c>
      <c r="B356" s="69" t="str">
        <f t="shared" si="24"/>
        <v>RESTRICCIÓN EN LA LIBRE ESCOGENCIA DE MÉDICO GENERAL</v>
      </c>
      <c r="C356" s="140" t="s">
        <v>963</v>
      </c>
      <c r="D356" s="141">
        <v>5</v>
      </c>
      <c r="E356" s="142">
        <v>9</v>
      </c>
      <c r="F356" s="142">
        <v>3</v>
      </c>
      <c r="G356" s="142">
        <v>3</v>
      </c>
      <c r="H356" s="142">
        <v>3</v>
      </c>
      <c r="I356" s="142">
        <v>5</v>
      </c>
      <c r="J356" s="142">
        <v>4</v>
      </c>
      <c r="K356" s="142">
        <v>5</v>
      </c>
      <c r="L356" s="142">
        <v>5</v>
      </c>
      <c r="M356" s="142">
        <v>4</v>
      </c>
      <c r="N356" s="83">
        <v>4</v>
      </c>
      <c r="O356" s="84">
        <v>3</v>
      </c>
      <c r="P356" s="45">
        <f t="shared" si="25"/>
        <v>53</v>
      </c>
      <c r="Q356" s="54">
        <f t="shared" si="26"/>
        <v>5.3173718538465165E-5</v>
      </c>
      <c r="S356" s="130"/>
    </row>
    <row r="357" spans="1:19" ht="15.75" hidden="1" thickBot="1" x14ac:dyDescent="0.3">
      <c r="A357" s="40" t="s">
        <v>489</v>
      </c>
      <c r="B357" s="69" t="str">
        <f t="shared" si="24"/>
        <v>FALTA DE PERSONAL ESPECIALIZADO</v>
      </c>
      <c r="C357" s="140" t="s">
        <v>490</v>
      </c>
      <c r="D357" s="141">
        <v>2</v>
      </c>
      <c r="E357" s="142">
        <v>6</v>
      </c>
      <c r="F357" s="142">
        <v>9</v>
      </c>
      <c r="G357" s="142">
        <v>2</v>
      </c>
      <c r="H357" s="142">
        <v>2</v>
      </c>
      <c r="I357" s="142">
        <v>3</v>
      </c>
      <c r="J357" s="142">
        <v>7</v>
      </c>
      <c r="K357" s="142">
        <v>1</v>
      </c>
      <c r="L357" s="142">
        <v>8</v>
      </c>
      <c r="M357" s="142">
        <v>2</v>
      </c>
      <c r="N357" s="83">
        <v>5</v>
      </c>
      <c r="O357" s="84">
        <v>5</v>
      </c>
      <c r="P357" s="45">
        <f t="shared" si="25"/>
        <v>52</v>
      </c>
      <c r="Q357" s="54">
        <f t="shared" si="26"/>
        <v>5.2170440830192239E-5</v>
      </c>
      <c r="S357" s="130"/>
    </row>
    <row r="358" spans="1:19" ht="45.75" hidden="1" thickBot="1" x14ac:dyDescent="0.3">
      <c r="A358" s="40" t="s">
        <v>466</v>
      </c>
      <c r="B358" s="69" t="str">
        <f t="shared" si="24"/>
        <v>DEFICIENTE PERCEPCIÓN SOBRE LA INFRAESTRUCTURA FÍSICA DEL LUGAR CONSULTORIOS</v>
      </c>
      <c r="C358" s="140" t="s">
        <v>964</v>
      </c>
      <c r="D358" s="141">
        <v>1</v>
      </c>
      <c r="E358" s="142">
        <v>7</v>
      </c>
      <c r="F358" s="142">
        <v>7</v>
      </c>
      <c r="G358" s="142">
        <v>3</v>
      </c>
      <c r="H358" s="142">
        <v>2</v>
      </c>
      <c r="I358" s="142">
        <v>4</v>
      </c>
      <c r="J358" s="142">
        <v>4</v>
      </c>
      <c r="K358" s="142">
        <v>8</v>
      </c>
      <c r="L358" s="142">
        <v>7</v>
      </c>
      <c r="M358" s="142">
        <v>2</v>
      </c>
      <c r="N358" s="83">
        <v>2</v>
      </c>
      <c r="O358" s="84">
        <v>4</v>
      </c>
      <c r="P358" s="45">
        <f t="shared" si="25"/>
        <v>51</v>
      </c>
      <c r="Q358" s="54">
        <f t="shared" si="26"/>
        <v>5.1167163121919313E-5</v>
      </c>
      <c r="S358" s="130"/>
    </row>
    <row r="359" spans="1:19" ht="45.75" hidden="1" thickBot="1" x14ac:dyDescent="0.3">
      <c r="A359" s="40" t="s">
        <v>454</v>
      </c>
      <c r="B359" s="69" t="str">
        <f t="shared" si="24"/>
        <v>SERVICIOS NO ADECUADOS A LAS NECESIDADES CULTURALES Y PARTICULARES DE LA POBLACIÓN</v>
      </c>
      <c r="C359" s="140" t="s">
        <v>965</v>
      </c>
      <c r="D359" s="141">
        <v>1</v>
      </c>
      <c r="E359" s="142">
        <v>6</v>
      </c>
      <c r="F359" s="142">
        <v>7</v>
      </c>
      <c r="G359" s="142">
        <v>8</v>
      </c>
      <c r="H359" s="142">
        <v>5</v>
      </c>
      <c r="I359" s="142">
        <v>4</v>
      </c>
      <c r="J359" s="142">
        <v>2</v>
      </c>
      <c r="K359" s="142">
        <v>4</v>
      </c>
      <c r="L359" s="142">
        <v>2</v>
      </c>
      <c r="M359" s="142">
        <v>3</v>
      </c>
      <c r="N359" s="83">
        <v>3</v>
      </c>
      <c r="O359" s="84">
        <v>3</v>
      </c>
      <c r="P359" s="45">
        <f t="shared" si="25"/>
        <v>48</v>
      </c>
      <c r="Q359" s="54">
        <f t="shared" si="26"/>
        <v>4.8157329997100528E-5</v>
      </c>
      <c r="S359" s="130"/>
    </row>
    <row r="360" spans="1:19" ht="75.75" hidden="1" thickBot="1" x14ac:dyDescent="0.3">
      <c r="A360" s="40" t="s">
        <v>496</v>
      </c>
      <c r="B360" s="69" t="str">
        <f t="shared" si="24"/>
        <v>FALTA DE OPORTUNIDAD EN LA AUTORIZACIÓN DE LA ATENCIÓN EN SALUD DERIVADA DE LOS ACCIDENTES DE TRÁNSITO Y EVENTOS CATASTRÓFICOS</v>
      </c>
      <c r="C360" s="140" t="s">
        <v>966</v>
      </c>
      <c r="D360" s="141">
        <v>5</v>
      </c>
      <c r="E360" s="142">
        <v>2</v>
      </c>
      <c r="F360" s="142">
        <v>6</v>
      </c>
      <c r="G360" s="142">
        <v>6</v>
      </c>
      <c r="H360" s="142">
        <v>3</v>
      </c>
      <c r="I360" s="142">
        <v>6</v>
      </c>
      <c r="J360" s="142"/>
      <c r="K360" s="142">
        <v>6</v>
      </c>
      <c r="L360" s="142">
        <v>6</v>
      </c>
      <c r="M360" s="142">
        <v>1</v>
      </c>
      <c r="N360" s="83">
        <v>4</v>
      </c>
      <c r="O360" s="84">
        <v>3</v>
      </c>
      <c r="P360" s="45">
        <f t="shared" si="25"/>
        <v>48</v>
      </c>
      <c r="Q360" s="54">
        <f t="shared" si="26"/>
        <v>4.8157329997100528E-5</v>
      </c>
      <c r="S360" s="130"/>
    </row>
    <row r="361" spans="1:19" ht="30.75" hidden="1" thickBot="1" x14ac:dyDescent="0.3">
      <c r="A361" s="40" t="s">
        <v>529</v>
      </c>
      <c r="B361" s="69" t="str">
        <f t="shared" si="24"/>
        <v>NEGACIÓN DE LA AUTORIZACIÓN DE ELEMENTOS DE AYUDAS AUDITIVAS</v>
      </c>
      <c r="C361" s="140" t="s">
        <v>967</v>
      </c>
      <c r="D361" s="141">
        <v>4</v>
      </c>
      <c r="E361" s="142">
        <v>2</v>
      </c>
      <c r="F361" s="142">
        <v>6</v>
      </c>
      <c r="G361" s="142">
        <v>1</v>
      </c>
      <c r="H361" s="142">
        <v>3</v>
      </c>
      <c r="I361" s="142">
        <v>4</v>
      </c>
      <c r="J361" s="142">
        <v>1</v>
      </c>
      <c r="K361" s="142">
        <v>9</v>
      </c>
      <c r="L361" s="142">
        <v>7</v>
      </c>
      <c r="M361" s="142">
        <v>4</v>
      </c>
      <c r="N361" s="83">
        <v>7</v>
      </c>
      <c r="O361" s="84"/>
      <c r="P361" s="45">
        <f t="shared" si="25"/>
        <v>48</v>
      </c>
      <c r="Q361" s="54">
        <f t="shared" si="26"/>
        <v>4.8157329997100528E-5</v>
      </c>
      <c r="S361" s="130"/>
    </row>
    <row r="362" spans="1:19" ht="15.75" hidden="1" thickBot="1" x14ac:dyDescent="0.3">
      <c r="A362" s="40" t="s">
        <v>472</v>
      </c>
      <c r="B362" s="69" t="str">
        <f t="shared" si="24"/>
        <v>EVENTOS ADVERSOS</v>
      </c>
      <c r="C362" s="140" t="s">
        <v>473</v>
      </c>
      <c r="D362" s="141">
        <v>4</v>
      </c>
      <c r="E362" s="142">
        <v>3</v>
      </c>
      <c r="F362" s="142">
        <v>7</v>
      </c>
      <c r="G362" s="142">
        <v>3</v>
      </c>
      <c r="H362" s="142">
        <v>5</v>
      </c>
      <c r="I362" s="142">
        <v>6</v>
      </c>
      <c r="J362" s="142">
        <v>4</v>
      </c>
      <c r="K362" s="142">
        <v>3</v>
      </c>
      <c r="L362" s="142">
        <v>1</v>
      </c>
      <c r="M362" s="142">
        <v>3</v>
      </c>
      <c r="N362" s="83">
        <v>2</v>
      </c>
      <c r="O362" s="84">
        <v>6</v>
      </c>
      <c r="P362" s="45">
        <f t="shared" si="25"/>
        <v>47</v>
      </c>
      <c r="Q362" s="54">
        <f t="shared" si="26"/>
        <v>4.7154052288827601E-5</v>
      </c>
      <c r="S362" s="130"/>
    </row>
    <row r="363" spans="1:19" ht="30.75" hidden="1" thickBot="1" x14ac:dyDescent="0.3">
      <c r="A363" s="40" t="s">
        <v>517</v>
      </c>
      <c r="B363" s="69" t="str">
        <f t="shared" si="24"/>
        <v>FRACCIONAMIENTO EN EL COBRO PARA LA ENTREGA DE MEDICAMENTOS</v>
      </c>
      <c r="C363" s="140" t="s">
        <v>518</v>
      </c>
      <c r="D363" s="141">
        <v>2</v>
      </c>
      <c r="E363" s="142">
        <v>6</v>
      </c>
      <c r="F363" s="142">
        <v>3</v>
      </c>
      <c r="G363" s="142">
        <v>3</v>
      </c>
      <c r="H363" s="142">
        <v>7</v>
      </c>
      <c r="I363" s="142">
        <v>4</v>
      </c>
      <c r="J363" s="142">
        <v>3</v>
      </c>
      <c r="K363" s="142">
        <v>3</v>
      </c>
      <c r="L363" s="142">
        <v>5</v>
      </c>
      <c r="M363" s="142">
        <v>3</v>
      </c>
      <c r="N363" s="83">
        <v>4</v>
      </c>
      <c r="O363" s="84">
        <v>3</v>
      </c>
      <c r="P363" s="45">
        <f t="shared" si="25"/>
        <v>46</v>
      </c>
      <c r="Q363" s="54">
        <f t="shared" si="26"/>
        <v>4.6150774580554675E-5</v>
      </c>
      <c r="S363" s="130"/>
    </row>
    <row r="364" spans="1:19" ht="15.75" hidden="1" thickBot="1" x14ac:dyDescent="0.3">
      <c r="A364" s="40" t="s">
        <v>521</v>
      </c>
      <c r="B364" s="69" t="str">
        <f t="shared" si="24"/>
        <v>NEGACIÓN DE LA REFERENCIA</v>
      </c>
      <c r="C364" s="140" t="s">
        <v>968</v>
      </c>
      <c r="D364" s="141">
        <v>4</v>
      </c>
      <c r="E364" s="142">
        <v>7</v>
      </c>
      <c r="F364" s="142">
        <v>5</v>
      </c>
      <c r="G364" s="142">
        <v>3</v>
      </c>
      <c r="H364" s="142"/>
      <c r="I364" s="142">
        <v>1</v>
      </c>
      <c r="J364" s="142">
        <v>5</v>
      </c>
      <c r="K364" s="142">
        <v>4</v>
      </c>
      <c r="L364" s="142">
        <v>5</v>
      </c>
      <c r="M364" s="142">
        <v>4</v>
      </c>
      <c r="N364" s="83"/>
      <c r="O364" s="84">
        <v>5</v>
      </c>
      <c r="P364" s="45">
        <f t="shared" si="25"/>
        <v>43</v>
      </c>
      <c r="Q364" s="54">
        <f t="shared" si="26"/>
        <v>4.314094145573589E-5</v>
      </c>
      <c r="S364" s="130"/>
    </row>
    <row r="365" spans="1:19" ht="45.75" hidden="1" thickBot="1" x14ac:dyDescent="0.3">
      <c r="A365" s="40" t="s">
        <v>522</v>
      </c>
      <c r="B365" s="69" t="str">
        <f t="shared" si="24"/>
        <v>NEGACIÓN DE LOS FALLOS DE LAS JUNTAS CALIFICADORAS PARA INVALIDEZ-RIESGOS PROFESIONALES</v>
      </c>
      <c r="C365" s="140" t="s">
        <v>969</v>
      </c>
      <c r="D365" s="141">
        <v>5</v>
      </c>
      <c r="E365" s="142">
        <v>3</v>
      </c>
      <c r="F365" s="142">
        <v>5</v>
      </c>
      <c r="G365" s="142">
        <v>5</v>
      </c>
      <c r="H365" s="142">
        <v>2</v>
      </c>
      <c r="I365" s="142">
        <v>4</v>
      </c>
      <c r="J365" s="142">
        <v>4</v>
      </c>
      <c r="K365" s="142">
        <v>3</v>
      </c>
      <c r="L365" s="142">
        <v>5</v>
      </c>
      <c r="M365" s="142">
        <v>3</v>
      </c>
      <c r="N365" s="83">
        <v>1</v>
      </c>
      <c r="O365" s="84"/>
      <c r="P365" s="45">
        <f t="shared" si="25"/>
        <v>40</v>
      </c>
      <c r="Q365" s="54">
        <f t="shared" si="26"/>
        <v>4.0131108330917105E-5</v>
      </c>
      <c r="S365" s="130"/>
    </row>
    <row r="366" spans="1:19" ht="45.75" hidden="1" thickBot="1" x14ac:dyDescent="0.3">
      <c r="A366" s="40" t="s">
        <v>527</v>
      </c>
      <c r="B366" s="69" t="str">
        <f t="shared" si="24"/>
        <v>RESTRICCIÓN EN LA LIBRE ESCOGENCIA PARA INDÍGENAS EN EL RÉGIMEN SUBSIDIADO</v>
      </c>
      <c r="C366" s="140" t="s">
        <v>970</v>
      </c>
      <c r="D366" s="141">
        <v>2</v>
      </c>
      <c r="E366" s="142">
        <v>5</v>
      </c>
      <c r="F366" s="142">
        <v>9</v>
      </c>
      <c r="G366" s="142">
        <v>7</v>
      </c>
      <c r="H366" s="142">
        <v>3</v>
      </c>
      <c r="I366" s="142">
        <v>4</v>
      </c>
      <c r="J366" s="142">
        <v>4</v>
      </c>
      <c r="K366" s="142"/>
      <c r="L366" s="142"/>
      <c r="M366" s="142"/>
      <c r="N366" s="83">
        <v>1</v>
      </c>
      <c r="O366" s="84">
        <v>3</v>
      </c>
      <c r="P366" s="45">
        <f t="shared" si="25"/>
        <v>38</v>
      </c>
      <c r="Q366" s="54">
        <f t="shared" si="26"/>
        <v>3.8124552914371253E-5</v>
      </c>
      <c r="S366" s="130"/>
    </row>
    <row r="367" spans="1:19" ht="30.75" hidden="1" thickBot="1" x14ac:dyDescent="0.3">
      <c r="A367" s="40" t="s">
        <v>552</v>
      </c>
      <c r="B367" s="69" t="str">
        <f t="shared" si="24"/>
        <v>INVITACIÓN A PROGRAMAS DE PROMOCIÓN Y PREVENCIÓN</v>
      </c>
      <c r="C367" s="140" t="s">
        <v>971</v>
      </c>
      <c r="D367" s="141">
        <v>2</v>
      </c>
      <c r="E367" s="142">
        <v>3</v>
      </c>
      <c r="F367" s="142">
        <v>7</v>
      </c>
      <c r="G367" s="142">
        <v>6</v>
      </c>
      <c r="H367" s="142">
        <v>1</v>
      </c>
      <c r="I367" s="142">
        <v>4</v>
      </c>
      <c r="J367" s="142">
        <v>1</v>
      </c>
      <c r="K367" s="142">
        <v>3</v>
      </c>
      <c r="L367" s="142">
        <v>4</v>
      </c>
      <c r="M367" s="142">
        <v>7</v>
      </c>
      <c r="N367" s="83"/>
      <c r="O367" s="84"/>
      <c r="P367" s="45">
        <f t="shared" si="25"/>
        <v>38</v>
      </c>
      <c r="Q367" s="54">
        <f t="shared" si="26"/>
        <v>3.8124552914371253E-5</v>
      </c>
      <c r="S367" s="130"/>
    </row>
    <row r="368" spans="1:19" ht="45.75" hidden="1" thickBot="1" x14ac:dyDescent="0.3">
      <c r="A368" s="40" t="s">
        <v>555</v>
      </c>
      <c r="B368" s="69"/>
      <c r="C368" s="140" t="s">
        <v>972</v>
      </c>
      <c r="D368" s="141">
        <v>3</v>
      </c>
      <c r="E368" s="142">
        <v>4</v>
      </c>
      <c r="F368" s="142">
        <v>8</v>
      </c>
      <c r="G368" s="142">
        <v>4</v>
      </c>
      <c r="H368" s="142">
        <v>8</v>
      </c>
      <c r="I368" s="142">
        <v>6</v>
      </c>
      <c r="J368" s="142">
        <v>2</v>
      </c>
      <c r="K368" s="142">
        <v>1</v>
      </c>
      <c r="L368" s="142"/>
      <c r="M368" s="142">
        <v>1</v>
      </c>
      <c r="N368" s="83"/>
      <c r="O368" s="84">
        <v>1</v>
      </c>
      <c r="P368" s="45">
        <f t="shared" si="25"/>
        <v>38</v>
      </c>
      <c r="Q368" s="54"/>
      <c r="S368" s="130"/>
    </row>
    <row r="369" spans="1:19" ht="30.75" hidden="1" thickBot="1" x14ac:dyDescent="0.3">
      <c r="A369" s="40" t="s">
        <v>554</v>
      </c>
      <c r="B369" s="69" t="str">
        <f t="shared" ref="B369:B400" si="27">+C369</f>
        <v>EXCLUSIONES PARA PLANES VOLUNTARIOS DE SALUD</v>
      </c>
      <c r="C369" s="140" t="s">
        <v>503</v>
      </c>
      <c r="D369" s="141">
        <v>6</v>
      </c>
      <c r="E369" s="142">
        <v>7</v>
      </c>
      <c r="F369" s="142">
        <v>4</v>
      </c>
      <c r="G369" s="142">
        <v>5</v>
      </c>
      <c r="H369" s="142">
        <v>1</v>
      </c>
      <c r="I369" s="142">
        <v>2</v>
      </c>
      <c r="J369" s="142">
        <v>3</v>
      </c>
      <c r="K369" s="142">
        <v>4</v>
      </c>
      <c r="L369" s="142">
        <v>1</v>
      </c>
      <c r="M369" s="142">
        <v>4</v>
      </c>
      <c r="N369" s="83"/>
      <c r="O369" s="84"/>
      <c r="P369" s="45">
        <f t="shared" si="25"/>
        <v>37</v>
      </c>
      <c r="Q369" s="54">
        <f t="shared" ref="Q369:Q400" si="28">+P369/$P$445</f>
        <v>3.712127520609832E-5</v>
      </c>
      <c r="S369" s="130"/>
    </row>
    <row r="370" spans="1:19" ht="30.75" hidden="1" thickBot="1" x14ac:dyDescent="0.3">
      <c r="A370" s="40" t="s">
        <v>524</v>
      </c>
      <c r="B370" s="69" t="str">
        <f t="shared" si="27"/>
        <v>TRAMITE DE LA REFERENCIA A CARGO DEL USUARIO</v>
      </c>
      <c r="C370" s="140" t="s">
        <v>525</v>
      </c>
      <c r="D370" s="141">
        <v>4</v>
      </c>
      <c r="E370" s="142">
        <v>3</v>
      </c>
      <c r="F370" s="142">
        <v>2</v>
      </c>
      <c r="G370" s="142">
        <v>2</v>
      </c>
      <c r="H370" s="142"/>
      <c r="I370" s="142">
        <v>4</v>
      </c>
      <c r="J370" s="142">
        <v>4</v>
      </c>
      <c r="K370" s="142">
        <v>2</v>
      </c>
      <c r="L370" s="142">
        <v>4</v>
      </c>
      <c r="M370" s="142">
        <v>4</v>
      </c>
      <c r="N370" s="83">
        <v>4</v>
      </c>
      <c r="O370" s="84">
        <v>4</v>
      </c>
      <c r="P370" s="45">
        <f t="shared" si="25"/>
        <v>37</v>
      </c>
      <c r="Q370" s="54">
        <f t="shared" si="28"/>
        <v>3.712127520609832E-5</v>
      </c>
      <c r="S370" s="130"/>
    </row>
    <row r="371" spans="1:19" ht="45.75" hidden="1" thickBot="1" x14ac:dyDescent="0.3">
      <c r="A371" s="40" t="s">
        <v>502</v>
      </c>
      <c r="B371" s="69" t="str">
        <f t="shared" si="27"/>
        <v>GESTIÓN EN LA CONTINUIDAD DEL ASEGURAMIENTO Y LA PRESTACIÓN DEL SERVICIO POR LA ENTIDAD TERRITORIAL</v>
      </c>
      <c r="C371" s="140" t="s">
        <v>973</v>
      </c>
      <c r="D371" s="141">
        <v>16</v>
      </c>
      <c r="E371" s="142">
        <v>6</v>
      </c>
      <c r="F371" s="142">
        <v>5</v>
      </c>
      <c r="G371" s="142">
        <v>3</v>
      </c>
      <c r="H371" s="142"/>
      <c r="I371" s="142"/>
      <c r="J371" s="142">
        <v>1</v>
      </c>
      <c r="K371" s="142">
        <v>3</v>
      </c>
      <c r="L371" s="142"/>
      <c r="M371" s="142">
        <v>1</v>
      </c>
      <c r="N371" s="83">
        <v>1</v>
      </c>
      <c r="O371" s="84">
        <v>1</v>
      </c>
      <c r="P371" s="45">
        <f t="shared" si="25"/>
        <v>37</v>
      </c>
      <c r="Q371" s="54">
        <f t="shared" si="28"/>
        <v>3.712127520609832E-5</v>
      </c>
      <c r="S371" s="130"/>
    </row>
    <row r="372" spans="1:19" ht="45.75" hidden="1" thickBot="1" x14ac:dyDescent="0.3">
      <c r="A372" s="40" t="s">
        <v>549</v>
      </c>
      <c r="B372" s="69" t="str">
        <f t="shared" si="27"/>
        <v>INCUMPLIMIENTO EN LA GESTIÓN DEL CONTROL DE CALIDAD DE LA RED DE LABORATORIOS</v>
      </c>
      <c r="C372" s="140" t="s">
        <v>974</v>
      </c>
      <c r="D372" s="141">
        <v>3</v>
      </c>
      <c r="E372" s="142">
        <v>3</v>
      </c>
      <c r="F372" s="142">
        <v>3</v>
      </c>
      <c r="G372" s="142">
        <v>4</v>
      </c>
      <c r="H372" s="142">
        <v>3</v>
      </c>
      <c r="I372" s="142">
        <v>3</v>
      </c>
      <c r="J372" s="142">
        <v>2</v>
      </c>
      <c r="K372" s="142">
        <v>5</v>
      </c>
      <c r="L372" s="142">
        <v>1</v>
      </c>
      <c r="M372" s="142">
        <v>1</v>
      </c>
      <c r="N372" s="83">
        <v>1</v>
      </c>
      <c r="O372" s="84">
        <v>3</v>
      </c>
      <c r="P372" s="45">
        <f t="shared" si="25"/>
        <v>32</v>
      </c>
      <c r="Q372" s="54">
        <f t="shared" si="28"/>
        <v>3.2104886664733683E-5</v>
      </c>
      <c r="S372" s="130"/>
    </row>
    <row r="373" spans="1:19" ht="45.75" hidden="1" thickBot="1" x14ac:dyDescent="0.3">
      <c r="A373" s="40" t="s">
        <v>530</v>
      </c>
      <c r="B373" s="69" t="str">
        <f t="shared" si="27"/>
        <v>NEGACIÓN DE LA AUTORIZACIÓN DE SERVICIOS DE ALTO COSTO PARA: ENFERMEDAD RENAL</v>
      </c>
      <c r="C373" s="140" t="s">
        <v>975</v>
      </c>
      <c r="D373" s="141">
        <v>5</v>
      </c>
      <c r="E373" s="142">
        <v>5</v>
      </c>
      <c r="F373" s="142">
        <v>5</v>
      </c>
      <c r="G373" s="142">
        <v>3</v>
      </c>
      <c r="H373" s="142">
        <v>3</v>
      </c>
      <c r="I373" s="142">
        <v>4</v>
      </c>
      <c r="J373" s="142"/>
      <c r="K373" s="142">
        <v>1</v>
      </c>
      <c r="L373" s="142">
        <v>2</v>
      </c>
      <c r="M373" s="142">
        <v>1</v>
      </c>
      <c r="N373" s="83"/>
      <c r="O373" s="84">
        <v>2</v>
      </c>
      <c r="P373" s="45">
        <f t="shared" si="25"/>
        <v>31</v>
      </c>
      <c r="Q373" s="54">
        <f t="shared" si="28"/>
        <v>3.1101608956460757E-5</v>
      </c>
      <c r="S373" s="130"/>
    </row>
    <row r="374" spans="1:19" ht="30.75" hidden="1" thickBot="1" x14ac:dyDescent="0.3">
      <c r="A374" s="40" t="s">
        <v>531</v>
      </c>
      <c r="B374" s="69" t="str">
        <f t="shared" si="27"/>
        <v>SUMINISTRO HOSPITALARIO POS INSUFICIENTE</v>
      </c>
      <c r="C374" s="140" t="s">
        <v>789</v>
      </c>
      <c r="D374" s="141">
        <v>2</v>
      </c>
      <c r="E374" s="142">
        <v>1</v>
      </c>
      <c r="F374" s="142">
        <v>3</v>
      </c>
      <c r="G374" s="142">
        <v>4</v>
      </c>
      <c r="H374" s="142">
        <v>4</v>
      </c>
      <c r="I374" s="142">
        <v>3</v>
      </c>
      <c r="J374" s="142">
        <v>7</v>
      </c>
      <c r="K374" s="142"/>
      <c r="L374" s="142">
        <v>1</v>
      </c>
      <c r="M374" s="142">
        <v>1</v>
      </c>
      <c r="N374" s="83">
        <v>2</v>
      </c>
      <c r="O374" s="84">
        <v>3</v>
      </c>
      <c r="P374" s="45">
        <f t="shared" si="25"/>
        <v>31</v>
      </c>
      <c r="Q374" s="54">
        <f t="shared" si="28"/>
        <v>3.1101608956460757E-5</v>
      </c>
      <c r="S374" s="130"/>
    </row>
    <row r="375" spans="1:19" ht="30.75" hidden="1" thickBot="1" x14ac:dyDescent="0.3">
      <c r="A375" s="40" t="s">
        <v>536</v>
      </c>
      <c r="B375" s="69" t="str">
        <f t="shared" si="27"/>
        <v>ENFERMEDADES CRÓNICAS NO TRANSMISIBLES RESPIRATORIAS</v>
      </c>
      <c r="C375" s="140" t="s">
        <v>976</v>
      </c>
      <c r="D375" s="141">
        <v>4</v>
      </c>
      <c r="E375" s="142">
        <v>4</v>
      </c>
      <c r="F375" s="142">
        <v>5</v>
      </c>
      <c r="G375" s="142">
        <v>3</v>
      </c>
      <c r="H375" s="142">
        <v>6</v>
      </c>
      <c r="I375" s="142">
        <v>6</v>
      </c>
      <c r="J375" s="142">
        <v>1</v>
      </c>
      <c r="K375" s="142"/>
      <c r="L375" s="142">
        <v>2</v>
      </c>
      <c r="M375" s="142"/>
      <c r="N375" s="83"/>
      <c r="O375" s="84"/>
      <c r="P375" s="45">
        <f t="shared" si="25"/>
        <v>31</v>
      </c>
      <c r="Q375" s="54">
        <f t="shared" si="28"/>
        <v>3.1101608956460757E-5</v>
      </c>
      <c r="S375" s="130"/>
    </row>
    <row r="376" spans="1:19" ht="15.75" hidden="1" thickBot="1" x14ac:dyDescent="0.3">
      <c r="A376" s="40" t="s">
        <v>582</v>
      </c>
      <c r="B376" s="69" t="str">
        <f t="shared" si="27"/>
        <v>SALUD SEXUAL Y REPRODUCTIVA</v>
      </c>
      <c r="C376" s="140" t="s">
        <v>583</v>
      </c>
      <c r="D376" s="141">
        <v>3</v>
      </c>
      <c r="E376" s="142"/>
      <c r="F376" s="142">
        <v>4</v>
      </c>
      <c r="G376" s="142">
        <v>2</v>
      </c>
      <c r="H376" s="142">
        <v>3</v>
      </c>
      <c r="I376" s="142">
        <v>5</v>
      </c>
      <c r="J376" s="142">
        <v>3</v>
      </c>
      <c r="K376" s="142">
        <v>4</v>
      </c>
      <c r="L376" s="142"/>
      <c r="M376" s="142">
        <v>5</v>
      </c>
      <c r="N376" s="83"/>
      <c r="O376" s="84">
        <v>1</v>
      </c>
      <c r="P376" s="45">
        <f t="shared" si="25"/>
        <v>30</v>
      </c>
      <c r="Q376" s="54">
        <f t="shared" si="28"/>
        <v>3.0098331248187831E-5</v>
      </c>
      <c r="S376" s="130"/>
    </row>
    <row r="377" spans="1:19" ht="60.75" hidden="1" thickBot="1" x14ac:dyDescent="0.3">
      <c r="A377" s="40" t="s">
        <v>528</v>
      </c>
      <c r="B377" s="69" t="str">
        <f t="shared" si="27"/>
        <v>NEGACIÓN DE LA AUTORIZACIÓN DE LA ATENCIÓN EN SALUD DERIVADA DE ACCIDENTE DE TRABAJO Y ENFERMEDAD PROFESIONAL</v>
      </c>
      <c r="C377" s="140" t="s">
        <v>977</v>
      </c>
      <c r="D377" s="141">
        <v>3</v>
      </c>
      <c r="E377" s="142">
        <v>6</v>
      </c>
      <c r="F377" s="142">
        <v>3</v>
      </c>
      <c r="G377" s="142">
        <v>1</v>
      </c>
      <c r="H377" s="142">
        <v>2</v>
      </c>
      <c r="I377" s="142">
        <v>2</v>
      </c>
      <c r="J377" s="142"/>
      <c r="K377" s="142">
        <v>3</v>
      </c>
      <c r="L377" s="142">
        <v>4</v>
      </c>
      <c r="M377" s="142">
        <v>2</v>
      </c>
      <c r="N377" s="83">
        <v>2</v>
      </c>
      <c r="O377" s="84">
        <v>2</v>
      </c>
      <c r="P377" s="45">
        <f t="shared" si="25"/>
        <v>30</v>
      </c>
      <c r="Q377" s="54">
        <f t="shared" si="28"/>
        <v>3.0098331248187831E-5</v>
      </c>
      <c r="S377" s="130"/>
    </row>
    <row r="378" spans="1:19" ht="45.75" hidden="1" thickBot="1" x14ac:dyDescent="0.3">
      <c r="A378" s="40" t="s">
        <v>504</v>
      </c>
      <c r="B378" s="69" t="str">
        <f t="shared" si="27"/>
        <v>INSUFICIENCIA DE RED PRESTADORA PARA SERVICIOS DE MEDIANA Y ALTA COMPLEJIDAD EN EL DEPARTAMENTO</v>
      </c>
      <c r="C378" s="140" t="s">
        <v>551</v>
      </c>
      <c r="D378" s="141">
        <v>2</v>
      </c>
      <c r="E378" s="142">
        <v>1</v>
      </c>
      <c r="F378" s="142">
        <v>1</v>
      </c>
      <c r="G378" s="142">
        <v>3</v>
      </c>
      <c r="H378" s="142">
        <v>3</v>
      </c>
      <c r="I378" s="142">
        <v>2</v>
      </c>
      <c r="J378" s="142">
        <v>5</v>
      </c>
      <c r="K378" s="142">
        <v>5</v>
      </c>
      <c r="L378" s="142">
        <v>4</v>
      </c>
      <c r="M378" s="142">
        <v>2</v>
      </c>
      <c r="N378" s="83"/>
      <c r="O378" s="84">
        <v>1</v>
      </c>
      <c r="P378" s="45">
        <f t="shared" si="25"/>
        <v>29</v>
      </c>
      <c r="Q378" s="54">
        <f t="shared" si="28"/>
        <v>2.9095053539914901E-5</v>
      </c>
      <c r="S378" s="130"/>
    </row>
    <row r="379" spans="1:19" ht="45.75" hidden="1" thickBot="1" x14ac:dyDescent="0.3">
      <c r="A379" s="40" t="s">
        <v>550</v>
      </c>
      <c r="B379" s="69" t="str">
        <f t="shared" si="27"/>
        <v>FIRMA DE PAGARE O ALGÚN OTRO DOCUMENTO COMO REQUISITOS PARA PRESTAR EL SERVICIO DE SALUD</v>
      </c>
      <c r="C379" s="140" t="s">
        <v>978</v>
      </c>
      <c r="D379" s="141"/>
      <c r="E379" s="142">
        <v>3</v>
      </c>
      <c r="F379" s="142">
        <v>1</v>
      </c>
      <c r="G379" s="142">
        <v>3</v>
      </c>
      <c r="H379" s="142">
        <v>2</v>
      </c>
      <c r="I379" s="142">
        <v>2</v>
      </c>
      <c r="J379" s="142">
        <v>3</v>
      </c>
      <c r="K379" s="142">
        <v>6</v>
      </c>
      <c r="L379" s="142">
        <v>3</v>
      </c>
      <c r="M379" s="142">
        <v>1</v>
      </c>
      <c r="N379" s="83">
        <v>4</v>
      </c>
      <c r="O379" s="84">
        <v>1</v>
      </c>
      <c r="P379" s="45">
        <f t="shared" si="25"/>
        <v>29</v>
      </c>
      <c r="Q379" s="54">
        <f t="shared" si="28"/>
        <v>2.9095053539914901E-5</v>
      </c>
      <c r="S379" s="130"/>
    </row>
    <row r="380" spans="1:19" ht="30.75" hidden="1" thickBot="1" x14ac:dyDescent="0.3">
      <c r="A380" s="40" t="s">
        <v>539</v>
      </c>
      <c r="B380" s="69" t="str">
        <f t="shared" si="27"/>
        <v>NEGACIÓN DE LA AUTORIZACIÓN DE SERVICIOS DE ALTO COSTO PARA: VIH</v>
      </c>
      <c r="C380" s="140" t="s">
        <v>979</v>
      </c>
      <c r="D380" s="141">
        <v>3</v>
      </c>
      <c r="E380" s="142">
        <v>4</v>
      </c>
      <c r="F380" s="142">
        <v>1</v>
      </c>
      <c r="G380" s="142">
        <v>3</v>
      </c>
      <c r="H380" s="142">
        <v>1</v>
      </c>
      <c r="I380" s="142">
        <v>3</v>
      </c>
      <c r="J380" s="142">
        <v>3</v>
      </c>
      <c r="K380" s="142">
        <v>4</v>
      </c>
      <c r="L380" s="142">
        <v>1</v>
      </c>
      <c r="M380" s="142">
        <v>1</v>
      </c>
      <c r="N380" s="83">
        <v>2</v>
      </c>
      <c r="O380" s="84">
        <v>2</v>
      </c>
      <c r="P380" s="45">
        <f t="shared" si="25"/>
        <v>28</v>
      </c>
      <c r="Q380" s="54">
        <f t="shared" si="28"/>
        <v>2.8091775831641975E-5</v>
      </c>
      <c r="S380" s="130"/>
    </row>
    <row r="381" spans="1:19" ht="30.75" hidden="1" thickBot="1" x14ac:dyDescent="0.3">
      <c r="A381" s="40" t="s">
        <v>494</v>
      </c>
      <c r="B381" s="69" t="str">
        <f t="shared" si="27"/>
        <v>NO CUBRIMIENTO DE PRIMER NIVEL EN EL MUNICIPIO DE REFERENCIA</v>
      </c>
      <c r="C381" s="140" t="s">
        <v>495</v>
      </c>
      <c r="D381" s="141">
        <v>3</v>
      </c>
      <c r="E381" s="142">
        <v>1</v>
      </c>
      <c r="F381" s="142">
        <v>4</v>
      </c>
      <c r="G381" s="142">
        <v>7</v>
      </c>
      <c r="H381" s="142">
        <v>6</v>
      </c>
      <c r="I381" s="142">
        <v>1</v>
      </c>
      <c r="J381" s="142"/>
      <c r="K381" s="142">
        <v>1</v>
      </c>
      <c r="L381" s="142"/>
      <c r="M381" s="142">
        <v>3</v>
      </c>
      <c r="N381" s="83"/>
      <c r="O381" s="84"/>
      <c r="P381" s="45">
        <f t="shared" si="25"/>
        <v>26</v>
      </c>
      <c r="Q381" s="54">
        <f t="shared" si="28"/>
        <v>2.6085220415096119E-5</v>
      </c>
      <c r="S381" s="130"/>
    </row>
    <row r="382" spans="1:19" ht="15.75" hidden="1" thickBot="1" x14ac:dyDescent="0.3">
      <c r="A382" s="40" t="s">
        <v>547</v>
      </c>
      <c r="B382" s="69" t="str">
        <f t="shared" si="27"/>
        <v>DISCRIMINACIÓN</v>
      </c>
      <c r="C382" s="140" t="s">
        <v>980</v>
      </c>
      <c r="D382" s="141">
        <v>4</v>
      </c>
      <c r="E382" s="142">
        <v>1</v>
      </c>
      <c r="F382" s="142">
        <v>1</v>
      </c>
      <c r="G382" s="142">
        <v>1</v>
      </c>
      <c r="H382" s="142">
        <v>2</v>
      </c>
      <c r="I382" s="142">
        <v>1</v>
      </c>
      <c r="J382" s="142">
        <v>1</v>
      </c>
      <c r="K382" s="142">
        <v>1</v>
      </c>
      <c r="L382" s="142">
        <v>5</v>
      </c>
      <c r="M382" s="142">
        <v>3</v>
      </c>
      <c r="N382" s="83">
        <v>4</v>
      </c>
      <c r="O382" s="84">
        <v>1</v>
      </c>
      <c r="P382" s="45">
        <f t="shared" si="25"/>
        <v>25</v>
      </c>
      <c r="Q382" s="54">
        <f t="shared" si="28"/>
        <v>2.508194270682319E-5</v>
      </c>
      <c r="S382" s="130"/>
    </row>
    <row r="383" spans="1:19" ht="45.75" hidden="1" thickBot="1" x14ac:dyDescent="0.3">
      <c r="A383" s="40" t="s">
        <v>526</v>
      </c>
      <c r="B383" s="69" t="str">
        <f t="shared" si="27"/>
        <v>NEGACIÓN PARA LA ENTREGA DE MEDICAMENTOS NO POS PARA ENFERMEDADES RARAS O HUÉRFANAS</v>
      </c>
      <c r="C383" s="140" t="s">
        <v>981</v>
      </c>
      <c r="D383" s="141">
        <v>2</v>
      </c>
      <c r="E383" s="142"/>
      <c r="F383" s="142">
        <v>2</v>
      </c>
      <c r="G383" s="142">
        <v>2</v>
      </c>
      <c r="H383" s="142"/>
      <c r="I383" s="142">
        <v>2</v>
      </c>
      <c r="J383" s="142">
        <v>2</v>
      </c>
      <c r="K383" s="142">
        <v>3</v>
      </c>
      <c r="L383" s="142"/>
      <c r="M383" s="142"/>
      <c r="N383" s="83">
        <v>2</v>
      </c>
      <c r="O383" s="84">
        <v>10</v>
      </c>
      <c r="P383" s="45">
        <f t="shared" si="25"/>
        <v>25</v>
      </c>
      <c r="Q383" s="54">
        <f t="shared" si="28"/>
        <v>2.508194270682319E-5</v>
      </c>
      <c r="S383" s="130"/>
    </row>
    <row r="384" spans="1:19" ht="60.75" hidden="1" thickBot="1" x14ac:dyDescent="0.3">
      <c r="A384" s="40" t="s">
        <v>534</v>
      </c>
      <c r="B384" s="69" t="str">
        <f t="shared" si="27"/>
        <v>INCUMPLIMIENTO DE OTRAS NORMAS TÉCNICAS Y GUÍAS DE ATENCIÓN DE LAS INTERVENCIONES DE PROTECCIÓN ESPECÍFICA Y DETECCIÓN TEMPRANA</v>
      </c>
      <c r="C384" s="140" t="s">
        <v>982</v>
      </c>
      <c r="D384" s="141">
        <v>1</v>
      </c>
      <c r="E384" s="142">
        <v>2</v>
      </c>
      <c r="F384" s="142">
        <v>4</v>
      </c>
      <c r="G384" s="142">
        <v>5</v>
      </c>
      <c r="H384" s="142">
        <v>2</v>
      </c>
      <c r="I384" s="142">
        <v>2</v>
      </c>
      <c r="J384" s="142">
        <v>2</v>
      </c>
      <c r="K384" s="142">
        <v>2</v>
      </c>
      <c r="L384" s="142">
        <v>2</v>
      </c>
      <c r="M384" s="142">
        <v>2</v>
      </c>
      <c r="N384" s="83"/>
      <c r="O384" s="84">
        <v>1</v>
      </c>
      <c r="P384" s="45">
        <f t="shared" si="25"/>
        <v>25</v>
      </c>
      <c r="Q384" s="54">
        <f t="shared" si="28"/>
        <v>2.508194270682319E-5</v>
      </c>
      <c r="S384" s="130"/>
    </row>
    <row r="385" spans="1:19" ht="45.75" hidden="1" thickBot="1" x14ac:dyDescent="0.3">
      <c r="A385" s="40" t="s">
        <v>546</v>
      </c>
      <c r="B385" s="69" t="str">
        <f t="shared" si="27"/>
        <v>NEGACIÓN POR PARTE DE LA EAPB AL PAGO DE LA ATENCIÓN INICIAL DE URGENCIAS AL PRESTADOR</v>
      </c>
      <c r="C385" s="140" t="s">
        <v>983</v>
      </c>
      <c r="D385" s="141">
        <v>1</v>
      </c>
      <c r="E385" s="142">
        <v>3</v>
      </c>
      <c r="F385" s="142"/>
      <c r="G385" s="142">
        <v>3</v>
      </c>
      <c r="H385" s="142">
        <v>2</v>
      </c>
      <c r="I385" s="142">
        <v>3</v>
      </c>
      <c r="J385" s="142"/>
      <c r="K385" s="142">
        <v>2</v>
      </c>
      <c r="L385" s="142"/>
      <c r="M385" s="142">
        <v>7</v>
      </c>
      <c r="N385" s="83">
        <v>2</v>
      </c>
      <c r="O385" s="84">
        <v>2</v>
      </c>
      <c r="P385" s="45">
        <f t="shared" si="25"/>
        <v>25</v>
      </c>
      <c r="Q385" s="54">
        <f t="shared" si="28"/>
        <v>2.508194270682319E-5</v>
      </c>
      <c r="S385" s="130"/>
    </row>
    <row r="386" spans="1:19" ht="15.75" hidden="1" thickBot="1" x14ac:dyDescent="0.3">
      <c r="A386" s="40" t="s">
        <v>540</v>
      </c>
      <c r="B386" s="69" t="str">
        <f t="shared" si="27"/>
        <v>OBESIDAD</v>
      </c>
      <c r="C386" s="140" t="s">
        <v>562</v>
      </c>
      <c r="D386" s="141">
        <v>1</v>
      </c>
      <c r="E386" s="142">
        <v>4</v>
      </c>
      <c r="F386" s="142">
        <v>1</v>
      </c>
      <c r="G386" s="142">
        <v>5</v>
      </c>
      <c r="H386" s="142">
        <v>6</v>
      </c>
      <c r="I386" s="142">
        <v>3</v>
      </c>
      <c r="J386" s="142">
        <v>1</v>
      </c>
      <c r="K386" s="142">
        <v>1</v>
      </c>
      <c r="L386" s="142">
        <v>3</v>
      </c>
      <c r="M386" s="142"/>
      <c r="N386" s="83"/>
      <c r="O386" s="84"/>
      <c r="P386" s="45">
        <f t="shared" si="25"/>
        <v>25</v>
      </c>
      <c r="Q386" s="54">
        <f t="shared" si="28"/>
        <v>2.508194270682319E-5</v>
      </c>
      <c r="S386" s="130"/>
    </row>
    <row r="387" spans="1:19" ht="45.75" hidden="1" thickBot="1" x14ac:dyDescent="0.3">
      <c r="A387" s="40" t="s">
        <v>561</v>
      </c>
      <c r="B387" s="69" t="str">
        <f t="shared" si="27"/>
        <v>DEFICIENTE PERCEPCIÓN SOBRE LA INFRAESTRUCTURA FÍSICA DEL LUGAR SALAS DE CIRUGÍA</v>
      </c>
      <c r="C387" s="140" t="s">
        <v>984</v>
      </c>
      <c r="D387" s="141">
        <v>2</v>
      </c>
      <c r="E387" s="142">
        <v>1</v>
      </c>
      <c r="F387" s="142">
        <v>1</v>
      </c>
      <c r="G387" s="142">
        <v>1</v>
      </c>
      <c r="H387" s="142">
        <v>2</v>
      </c>
      <c r="I387" s="142">
        <v>1</v>
      </c>
      <c r="J387" s="142">
        <v>1</v>
      </c>
      <c r="K387" s="142">
        <v>3</v>
      </c>
      <c r="L387" s="142">
        <v>3</v>
      </c>
      <c r="M387" s="142">
        <v>1</v>
      </c>
      <c r="N387" s="83">
        <v>3</v>
      </c>
      <c r="O387" s="84">
        <v>6</v>
      </c>
      <c r="P387" s="45">
        <f t="shared" si="25"/>
        <v>25</v>
      </c>
      <c r="Q387" s="54">
        <f t="shared" si="28"/>
        <v>2.508194270682319E-5</v>
      </c>
      <c r="S387" s="130"/>
    </row>
    <row r="388" spans="1:19" ht="75.75" hidden="1" thickBot="1" x14ac:dyDescent="0.3">
      <c r="A388" s="40" t="s">
        <v>537</v>
      </c>
      <c r="B388" s="69" t="str">
        <f t="shared" si="27"/>
        <v>IMPOSIBILIDAD PARA COMUNICARSE CON LA EAPB PARA LA SOLICITUD DE AUTORIZACIÓN DE SERVICIOS POSTERIORES O ADICIONALES A LA ATENCIÓN INICIAL DE URGENCIAS</v>
      </c>
      <c r="C388" s="140" t="s">
        <v>985</v>
      </c>
      <c r="D388" s="141">
        <v>2</v>
      </c>
      <c r="E388" s="142">
        <v>3</v>
      </c>
      <c r="F388" s="142">
        <v>2</v>
      </c>
      <c r="G388" s="142"/>
      <c r="H388" s="142">
        <v>3</v>
      </c>
      <c r="I388" s="142">
        <v>2</v>
      </c>
      <c r="J388" s="142">
        <v>3</v>
      </c>
      <c r="K388" s="142">
        <v>3</v>
      </c>
      <c r="L388" s="142">
        <v>3</v>
      </c>
      <c r="M388" s="142"/>
      <c r="N388" s="83"/>
      <c r="O388" s="84">
        <v>3</v>
      </c>
      <c r="P388" s="45">
        <f t="shared" si="25"/>
        <v>24</v>
      </c>
      <c r="Q388" s="54">
        <f t="shared" si="28"/>
        <v>2.4078664998550264E-5</v>
      </c>
      <c r="S388" s="130"/>
    </row>
    <row r="389" spans="1:19" ht="30.75" hidden="1" thickBot="1" x14ac:dyDescent="0.3">
      <c r="A389" s="40" t="s">
        <v>514</v>
      </c>
      <c r="B389" s="69" t="str">
        <f t="shared" si="27"/>
        <v>PLANTA FÍSICA, ESPACIOS, MUEBLES Y DOTACIÓN INAPROPIADA</v>
      </c>
      <c r="C389" s="140" t="s">
        <v>986</v>
      </c>
      <c r="D389" s="141">
        <v>1</v>
      </c>
      <c r="E389" s="142">
        <v>1</v>
      </c>
      <c r="F389" s="142">
        <v>1</v>
      </c>
      <c r="G389" s="142">
        <v>1</v>
      </c>
      <c r="H389" s="142">
        <v>1</v>
      </c>
      <c r="I389" s="142">
        <v>3</v>
      </c>
      <c r="J389" s="142">
        <v>6</v>
      </c>
      <c r="K389" s="142">
        <v>2</v>
      </c>
      <c r="L389" s="142">
        <v>3</v>
      </c>
      <c r="M389" s="142"/>
      <c r="N389" s="83">
        <v>3</v>
      </c>
      <c r="O389" s="84">
        <v>1</v>
      </c>
      <c r="P389" s="45">
        <f t="shared" si="25"/>
        <v>23</v>
      </c>
      <c r="Q389" s="54">
        <f t="shared" si="28"/>
        <v>2.3075387290277338E-5</v>
      </c>
      <c r="S389" s="130"/>
    </row>
    <row r="390" spans="1:19" ht="60.75" hidden="1" thickBot="1" x14ac:dyDescent="0.3">
      <c r="A390" s="40" t="s">
        <v>510</v>
      </c>
      <c r="B390" s="69" t="str">
        <f t="shared" si="27"/>
        <v>NEGACIÓN DE LA AUTORIZACIÓN DE LA ATENCIÓN EN SALUD DERIVADA DE LOS ACCIDENTES DE TRÁNSITO Y EVENTOS CATASTRÓFICOS</v>
      </c>
      <c r="C390" s="140" t="s">
        <v>987</v>
      </c>
      <c r="D390" s="141">
        <v>2</v>
      </c>
      <c r="E390" s="142">
        <v>2</v>
      </c>
      <c r="F390" s="142">
        <v>1</v>
      </c>
      <c r="G390" s="142">
        <v>1</v>
      </c>
      <c r="H390" s="142">
        <v>1</v>
      </c>
      <c r="I390" s="142">
        <v>1</v>
      </c>
      <c r="J390" s="142">
        <v>1</v>
      </c>
      <c r="K390" s="142">
        <v>2</v>
      </c>
      <c r="L390" s="142">
        <v>3</v>
      </c>
      <c r="M390" s="142">
        <v>3</v>
      </c>
      <c r="N390" s="83">
        <v>4</v>
      </c>
      <c r="O390" s="84">
        <v>1</v>
      </c>
      <c r="P390" s="45">
        <f t="shared" si="25"/>
        <v>22</v>
      </c>
      <c r="Q390" s="54">
        <f t="shared" si="28"/>
        <v>2.2072109582004408E-5</v>
      </c>
      <c r="S390" s="130"/>
    </row>
    <row r="391" spans="1:19" ht="60.75" hidden="1" thickBot="1" x14ac:dyDescent="0.3">
      <c r="A391" s="40" t="s">
        <v>553</v>
      </c>
      <c r="B391" s="69" t="str">
        <f t="shared" si="27"/>
        <v>PERSONAL MÉDICO O PARAMÉDICO NO IDÓNEO PARA EL ACOMPAÑAMIENTO Y TRASLADO DEL PACIENTE (REFERENCIA-CONTRARREFERENCIA)</v>
      </c>
      <c r="C391" s="140" t="s">
        <v>988</v>
      </c>
      <c r="D391" s="141">
        <v>2</v>
      </c>
      <c r="E391" s="142">
        <v>1</v>
      </c>
      <c r="F391" s="142">
        <v>4</v>
      </c>
      <c r="G391" s="142"/>
      <c r="H391" s="142">
        <v>2</v>
      </c>
      <c r="I391" s="142">
        <v>2</v>
      </c>
      <c r="J391" s="142">
        <v>4</v>
      </c>
      <c r="K391" s="142">
        <v>3</v>
      </c>
      <c r="L391" s="142"/>
      <c r="M391" s="142">
        <v>1</v>
      </c>
      <c r="N391" s="83">
        <v>3</v>
      </c>
      <c r="O391" s="84"/>
      <c r="P391" s="45">
        <f t="shared" si="25"/>
        <v>22</v>
      </c>
      <c r="Q391" s="54">
        <f t="shared" si="28"/>
        <v>2.2072109582004408E-5</v>
      </c>
      <c r="S391" s="130"/>
    </row>
    <row r="392" spans="1:19" ht="60.75" hidden="1" thickBot="1" x14ac:dyDescent="0.3">
      <c r="A392" s="40" t="s">
        <v>545</v>
      </c>
      <c r="B392" s="69" t="str">
        <f t="shared" si="27"/>
        <v>FALTA DE OPORTUNIDAD EN LA RESPUESTA DEL COMITÉ TÉCNICO CIENTÍFICO PARA PROCEDIMIENTOS NO-POS</v>
      </c>
      <c r="C392" s="140" t="s">
        <v>989</v>
      </c>
      <c r="D392" s="141">
        <v>1</v>
      </c>
      <c r="E392" s="142">
        <v>1</v>
      </c>
      <c r="F392" s="142">
        <v>1</v>
      </c>
      <c r="G392" s="142">
        <v>3</v>
      </c>
      <c r="H392" s="142">
        <v>1</v>
      </c>
      <c r="I392" s="142">
        <v>5</v>
      </c>
      <c r="J392" s="142">
        <v>2</v>
      </c>
      <c r="K392" s="142">
        <v>2</v>
      </c>
      <c r="L392" s="142">
        <v>2</v>
      </c>
      <c r="M392" s="142">
        <v>1</v>
      </c>
      <c r="N392" s="83"/>
      <c r="O392" s="84">
        <v>2</v>
      </c>
      <c r="P392" s="45">
        <f t="shared" si="25"/>
        <v>21</v>
      </c>
      <c r="Q392" s="54">
        <f t="shared" si="28"/>
        <v>2.1068831873731482E-5</v>
      </c>
      <c r="S392" s="130"/>
    </row>
    <row r="393" spans="1:19" ht="15.75" hidden="1" thickBot="1" x14ac:dyDescent="0.3">
      <c r="A393" s="40" t="s">
        <v>538</v>
      </c>
      <c r="B393" s="69" t="str">
        <f t="shared" si="27"/>
        <v>DEFICIENTE PERCEPCIÓN SOBRE EL ASEO</v>
      </c>
      <c r="C393" s="140" t="s">
        <v>990</v>
      </c>
      <c r="D393" s="141">
        <v>1</v>
      </c>
      <c r="E393" s="142">
        <v>3</v>
      </c>
      <c r="F393" s="142">
        <v>2</v>
      </c>
      <c r="G393" s="142">
        <v>4</v>
      </c>
      <c r="H393" s="142">
        <v>1</v>
      </c>
      <c r="I393" s="142">
        <v>2</v>
      </c>
      <c r="J393" s="142"/>
      <c r="K393" s="142">
        <v>3</v>
      </c>
      <c r="L393" s="142">
        <v>3</v>
      </c>
      <c r="M393" s="142">
        <v>1</v>
      </c>
      <c r="N393" s="83"/>
      <c r="O393" s="84">
        <v>1</v>
      </c>
      <c r="P393" s="45">
        <f t="shared" si="25"/>
        <v>21</v>
      </c>
      <c r="Q393" s="54">
        <f t="shared" si="28"/>
        <v>2.1068831873731482E-5</v>
      </c>
      <c r="S393" s="130"/>
    </row>
    <row r="394" spans="1:19" ht="45.75" hidden="1" thickBot="1" x14ac:dyDescent="0.3">
      <c r="A394" s="40" t="s">
        <v>590</v>
      </c>
      <c r="B394" s="69" t="str">
        <f t="shared" si="27"/>
        <v>INCUMPLIMIENTO DEL REPORTE DE LOS RIPS PARTE DE LOS PRESTADORES DE SERVICIOS DE SALUD A LAS EAPB</v>
      </c>
      <c r="C394" s="140" t="s">
        <v>591</v>
      </c>
      <c r="D394" s="141">
        <v>3</v>
      </c>
      <c r="E394" s="142">
        <v>1</v>
      </c>
      <c r="F394" s="142"/>
      <c r="G394" s="142">
        <v>3</v>
      </c>
      <c r="H394" s="142">
        <v>3</v>
      </c>
      <c r="I394" s="142">
        <v>3</v>
      </c>
      <c r="J394" s="142">
        <v>2</v>
      </c>
      <c r="K394" s="142">
        <v>5</v>
      </c>
      <c r="L394" s="142"/>
      <c r="M394" s="142"/>
      <c r="N394" s="83"/>
      <c r="O394" s="84"/>
      <c r="P394" s="45">
        <f t="shared" si="25"/>
        <v>20</v>
      </c>
      <c r="Q394" s="54">
        <f t="shared" si="28"/>
        <v>2.0065554165458553E-5</v>
      </c>
      <c r="S394" s="130"/>
    </row>
    <row r="395" spans="1:19" ht="15.75" hidden="1" thickBot="1" x14ac:dyDescent="0.3">
      <c r="A395" s="40" t="s">
        <v>541</v>
      </c>
      <c r="B395" s="69" t="str">
        <f t="shared" si="27"/>
        <v>NEGACIÓN DE LA CONTRARREFERENCIA</v>
      </c>
      <c r="C395" s="140" t="s">
        <v>991</v>
      </c>
      <c r="D395" s="141">
        <v>2</v>
      </c>
      <c r="E395" s="142">
        <v>5</v>
      </c>
      <c r="F395" s="142">
        <v>2</v>
      </c>
      <c r="G395" s="142">
        <v>3</v>
      </c>
      <c r="H395" s="142">
        <v>1</v>
      </c>
      <c r="I395" s="142">
        <v>1</v>
      </c>
      <c r="J395" s="142">
        <v>2</v>
      </c>
      <c r="K395" s="142"/>
      <c r="L395" s="142">
        <v>1</v>
      </c>
      <c r="M395" s="142"/>
      <c r="N395" s="83"/>
      <c r="O395" s="84">
        <v>2</v>
      </c>
      <c r="P395" s="45">
        <f t="shared" si="25"/>
        <v>19</v>
      </c>
      <c r="Q395" s="54">
        <f t="shared" si="28"/>
        <v>1.9062276457185626E-5</v>
      </c>
      <c r="S395" s="130"/>
    </row>
    <row r="396" spans="1:19" ht="30.75" hidden="1" thickBot="1" x14ac:dyDescent="0.3">
      <c r="A396" s="40" t="s">
        <v>542</v>
      </c>
      <c r="B396" s="69" t="str">
        <f t="shared" si="27"/>
        <v>INSUFICIENCIA DE RED PRESTADORA PARA LOS SERVICIOS DE ALTO COSTO</v>
      </c>
      <c r="C396" s="140" t="s">
        <v>543</v>
      </c>
      <c r="D396" s="141"/>
      <c r="E396" s="142">
        <v>1</v>
      </c>
      <c r="F396" s="142">
        <v>3</v>
      </c>
      <c r="G396" s="142">
        <v>3</v>
      </c>
      <c r="H396" s="142">
        <v>1</v>
      </c>
      <c r="I396" s="142">
        <v>1</v>
      </c>
      <c r="J396" s="142">
        <v>2</v>
      </c>
      <c r="K396" s="142">
        <v>1</v>
      </c>
      <c r="L396" s="142">
        <v>1</v>
      </c>
      <c r="M396" s="142">
        <v>2</v>
      </c>
      <c r="N396" s="83">
        <v>1</v>
      </c>
      <c r="O396" s="84">
        <v>1</v>
      </c>
      <c r="P396" s="45">
        <f t="shared" si="25"/>
        <v>17</v>
      </c>
      <c r="Q396" s="54">
        <f t="shared" si="28"/>
        <v>1.7055721040639771E-5</v>
      </c>
      <c r="S396" s="130"/>
    </row>
    <row r="397" spans="1:19" ht="45.75" hidden="1" thickBot="1" x14ac:dyDescent="0.3">
      <c r="A397" s="40" t="s">
        <v>566</v>
      </c>
      <c r="B397" s="69" t="str">
        <f t="shared" si="27"/>
        <v>INCUMPLIMIENTO EN EL ENVÍO DE LAS MATRICES DE PROGRAMACIÓN DEL RÉGIMEN SUBSIDIADO</v>
      </c>
      <c r="C397" s="140" t="s">
        <v>992</v>
      </c>
      <c r="D397" s="141">
        <v>1</v>
      </c>
      <c r="E397" s="142">
        <v>2</v>
      </c>
      <c r="F397" s="142"/>
      <c r="G397" s="142">
        <v>1</v>
      </c>
      <c r="H397" s="142"/>
      <c r="I397" s="142"/>
      <c r="J397" s="142">
        <v>2</v>
      </c>
      <c r="K397" s="142">
        <v>5</v>
      </c>
      <c r="L397" s="142">
        <v>2</v>
      </c>
      <c r="M397" s="142"/>
      <c r="N397" s="83">
        <v>2</v>
      </c>
      <c r="O397" s="84">
        <v>1</v>
      </c>
      <c r="P397" s="45">
        <f t="shared" si="25"/>
        <v>16</v>
      </c>
      <c r="Q397" s="54">
        <f t="shared" si="28"/>
        <v>1.6052443332366841E-5</v>
      </c>
      <c r="S397" s="130"/>
    </row>
    <row r="398" spans="1:19" ht="30.75" hidden="1" thickBot="1" x14ac:dyDescent="0.3">
      <c r="A398" s="40" t="s">
        <v>572</v>
      </c>
      <c r="B398" s="69" t="str">
        <f t="shared" si="27"/>
        <v>FALTA DE PERSONAL DE SERVICIOS GENERALES</v>
      </c>
      <c r="C398" s="140" t="s">
        <v>567</v>
      </c>
      <c r="D398" s="141">
        <v>1</v>
      </c>
      <c r="E398" s="142">
        <v>2</v>
      </c>
      <c r="F398" s="142"/>
      <c r="G398" s="142">
        <v>4</v>
      </c>
      <c r="H398" s="142"/>
      <c r="I398" s="142">
        <v>1</v>
      </c>
      <c r="J398" s="142">
        <v>2</v>
      </c>
      <c r="K398" s="142">
        <v>1</v>
      </c>
      <c r="L398" s="142">
        <v>2</v>
      </c>
      <c r="M398" s="142"/>
      <c r="N398" s="83">
        <v>3</v>
      </c>
      <c r="O398" s="84"/>
      <c r="P398" s="45">
        <f t="shared" si="25"/>
        <v>16</v>
      </c>
      <c r="Q398" s="54">
        <f t="shared" si="28"/>
        <v>1.6052443332366841E-5</v>
      </c>
      <c r="S398" s="130"/>
    </row>
    <row r="399" spans="1:19" ht="30.75" hidden="1" thickBot="1" x14ac:dyDescent="0.3">
      <c r="A399" s="40" t="s">
        <v>568</v>
      </c>
      <c r="B399" s="69" t="str">
        <f t="shared" si="27"/>
        <v>FALTA DE DISPONIBILIDAD SALAS DE PARTO</v>
      </c>
      <c r="C399" s="140" t="s">
        <v>569</v>
      </c>
      <c r="D399" s="141">
        <v>1</v>
      </c>
      <c r="E399" s="142"/>
      <c r="F399" s="142">
        <v>1</v>
      </c>
      <c r="G399" s="142">
        <v>1</v>
      </c>
      <c r="H399" s="142">
        <v>2</v>
      </c>
      <c r="I399" s="142"/>
      <c r="J399" s="142">
        <v>3</v>
      </c>
      <c r="K399" s="142">
        <v>2</v>
      </c>
      <c r="L399" s="142">
        <v>1</v>
      </c>
      <c r="M399" s="142">
        <v>2</v>
      </c>
      <c r="N399" s="83">
        <v>2</v>
      </c>
      <c r="O399" s="84">
        <v>1</v>
      </c>
      <c r="P399" s="45">
        <f t="shared" si="25"/>
        <v>16</v>
      </c>
      <c r="Q399" s="54">
        <f t="shared" si="28"/>
        <v>1.6052443332366841E-5</v>
      </c>
      <c r="S399" s="130"/>
    </row>
    <row r="400" spans="1:19" ht="45.75" hidden="1" thickBot="1" x14ac:dyDescent="0.3">
      <c r="A400" s="40" t="s">
        <v>584</v>
      </c>
      <c r="B400" s="69" t="str">
        <f t="shared" si="27"/>
        <v>INCUMPLIMIENTO EN LAS ACCIONES DE SALUD MENTAL Y LESIONES VIOLENTAS EVITABLES</v>
      </c>
      <c r="C400" s="140" t="s">
        <v>585</v>
      </c>
      <c r="D400" s="141">
        <v>2</v>
      </c>
      <c r="E400" s="142">
        <v>1</v>
      </c>
      <c r="F400" s="142">
        <v>1</v>
      </c>
      <c r="G400" s="142">
        <v>1</v>
      </c>
      <c r="H400" s="142">
        <v>2</v>
      </c>
      <c r="I400" s="142"/>
      <c r="J400" s="142">
        <v>1</v>
      </c>
      <c r="K400" s="142">
        <v>2</v>
      </c>
      <c r="L400" s="142">
        <v>1</v>
      </c>
      <c r="M400" s="142">
        <v>2</v>
      </c>
      <c r="N400" s="83"/>
      <c r="O400" s="84">
        <v>2</v>
      </c>
      <c r="P400" s="45">
        <f t="shared" si="25"/>
        <v>15</v>
      </c>
      <c r="Q400" s="54">
        <f t="shared" si="28"/>
        <v>1.5049165624093915E-5</v>
      </c>
      <c r="S400" s="130"/>
    </row>
    <row r="401" spans="1:19" ht="30.75" hidden="1" thickBot="1" x14ac:dyDescent="0.3">
      <c r="A401" s="40" t="s">
        <v>768</v>
      </c>
      <c r="B401" s="69" t="str">
        <f t="shared" ref="B401:B432" si="29">+C401</f>
        <v>NEGACIÓN DE INCLUSIÓN EN PRIORIZACIÓN POR EAPB</v>
      </c>
      <c r="C401" s="140" t="s">
        <v>764</v>
      </c>
      <c r="D401" s="141"/>
      <c r="E401" s="142"/>
      <c r="F401" s="142">
        <v>1</v>
      </c>
      <c r="G401" s="142"/>
      <c r="H401" s="142">
        <v>1</v>
      </c>
      <c r="I401" s="142"/>
      <c r="J401" s="142">
        <v>1</v>
      </c>
      <c r="K401" s="142">
        <v>3</v>
      </c>
      <c r="L401" s="142">
        <v>2</v>
      </c>
      <c r="M401" s="142">
        <v>2</v>
      </c>
      <c r="N401" s="83">
        <v>4</v>
      </c>
      <c r="O401" s="84">
        <v>1</v>
      </c>
      <c r="P401" s="45">
        <f t="shared" si="25"/>
        <v>15</v>
      </c>
      <c r="Q401" s="54">
        <f t="shared" ref="Q401:Q432" si="30">+P401/$P$445</f>
        <v>1.5049165624093915E-5</v>
      </c>
      <c r="S401" s="130"/>
    </row>
    <row r="402" spans="1:19" ht="75.75" hidden="1" thickBot="1" x14ac:dyDescent="0.3">
      <c r="A402" s="40" t="s">
        <v>560</v>
      </c>
      <c r="B402" s="69" t="str">
        <f t="shared" si="29"/>
        <v>FALLAS EN LOS MEDIOS O MECANISMOS DE COMUNICACIÓN EMPLEADOS POR LA EAPB PARA EL REPORTE DE LA INFORMACIÓN POR PARTE DE LOS PRESTADORES</v>
      </c>
      <c r="C402" s="140" t="s">
        <v>993</v>
      </c>
      <c r="D402" s="141">
        <v>2</v>
      </c>
      <c r="E402" s="142">
        <v>1</v>
      </c>
      <c r="F402" s="142">
        <v>1</v>
      </c>
      <c r="G402" s="142">
        <v>2</v>
      </c>
      <c r="H402" s="142">
        <v>1</v>
      </c>
      <c r="I402" s="142"/>
      <c r="J402" s="142"/>
      <c r="K402" s="142">
        <v>2</v>
      </c>
      <c r="L402" s="142">
        <v>1</v>
      </c>
      <c r="M402" s="142"/>
      <c r="N402" s="83">
        <v>3</v>
      </c>
      <c r="O402" s="84">
        <v>1</v>
      </c>
      <c r="P402" s="45">
        <f t="shared" si="25"/>
        <v>14</v>
      </c>
      <c r="Q402" s="54">
        <f t="shared" si="30"/>
        <v>1.4045887915820987E-5</v>
      </c>
      <c r="S402" s="130"/>
    </row>
    <row r="403" spans="1:19" ht="75.75" hidden="1" thickBot="1" x14ac:dyDescent="0.3">
      <c r="A403" s="40" t="s">
        <v>487</v>
      </c>
      <c r="B403" s="69" t="str">
        <f t="shared" si="29"/>
        <v>INSUFICIENCIA DE RED PARA LA PRESTACIÓN DE LOS SERVICIOS DE SALUD DE LA POBLACIÓN POBRE EN LO NO CUBIERTO POR LOS SUBSIDIOS A LA DEMANDA</v>
      </c>
      <c r="C403" s="140" t="s">
        <v>994</v>
      </c>
      <c r="D403" s="141">
        <v>3</v>
      </c>
      <c r="E403" s="142">
        <v>1</v>
      </c>
      <c r="F403" s="142">
        <v>1</v>
      </c>
      <c r="G403" s="142">
        <v>2</v>
      </c>
      <c r="H403" s="142">
        <v>1</v>
      </c>
      <c r="I403" s="142">
        <v>2</v>
      </c>
      <c r="J403" s="142">
        <v>3</v>
      </c>
      <c r="K403" s="142"/>
      <c r="L403" s="142"/>
      <c r="M403" s="142"/>
      <c r="N403" s="83">
        <v>1</v>
      </c>
      <c r="O403" s="84"/>
      <c r="P403" s="45">
        <f t="shared" si="25"/>
        <v>14</v>
      </c>
      <c r="Q403" s="54">
        <f t="shared" si="30"/>
        <v>1.4045887915820987E-5</v>
      </c>
      <c r="S403" s="130"/>
    </row>
    <row r="404" spans="1:19" ht="75.75" hidden="1" thickBot="1" x14ac:dyDescent="0.3">
      <c r="A404" s="40" t="s">
        <v>556</v>
      </c>
      <c r="B404" s="69" t="str">
        <f t="shared" si="29"/>
        <v>INSUFICIENCIA DE RED PRESTADORA PARA LA REALIZACIÓN DE LAS ACCIONES DE DETECCIÓN TEMPRANA Y PROTECCIÓN ESPECÍFICA EN EL MUNICIPIO</v>
      </c>
      <c r="C404" s="140" t="s">
        <v>995</v>
      </c>
      <c r="D404" s="141">
        <v>1</v>
      </c>
      <c r="E404" s="142">
        <v>2</v>
      </c>
      <c r="F404" s="142">
        <v>2</v>
      </c>
      <c r="G404" s="142">
        <v>1</v>
      </c>
      <c r="H404" s="142">
        <v>4</v>
      </c>
      <c r="I404" s="142">
        <v>1</v>
      </c>
      <c r="J404" s="142"/>
      <c r="K404" s="142"/>
      <c r="L404" s="142"/>
      <c r="M404" s="142">
        <v>1</v>
      </c>
      <c r="N404" s="83">
        <v>2</v>
      </c>
      <c r="O404" s="84"/>
      <c r="P404" s="45">
        <f t="shared" si="25"/>
        <v>14</v>
      </c>
      <c r="Q404" s="54">
        <f t="shared" si="30"/>
        <v>1.4045887915820987E-5</v>
      </c>
      <c r="S404" s="130"/>
    </row>
    <row r="405" spans="1:19" ht="45.75" hidden="1" thickBot="1" x14ac:dyDescent="0.3">
      <c r="A405" s="40" t="s">
        <v>785</v>
      </c>
      <c r="B405" s="69" t="str">
        <f t="shared" si="29"/>
        <v>INCUMPLIMIENTO EN EL REPORTE DE INDICADORES DE CALIDAD POR PARTE DE LAS IPS</v>
      </c>
      <c r="C405" s="140" t="s">
        <v>580</v>
      </c>
      <c r="D405" s="141">
        <v>1</v>
      </c>
      <c r="E405" s="142"/>
      <c r="F405" s="142"/>
      <c r="G405" s="142">
        <v>2</v>
      </c>
      <c r="H405" s="142">
        <v>1</v>
      </c>
      <c r="I405" s="142">
        <v>4</v>
      </c>
      <c r="J405" s="142">
        <v>1</v>
      </c>
      <c r="K405" s="142"/>
      <c r="L405" s="142">
        <v>1</v>
      </c>
      <c r="M405" s="142"/>
      <c r="N405" s="83"/>
      <c r="O405" s="84">
        <v>3</v>
      </c>
      <c r="P405" s="45">
        <f t="shared" si="25"/>
        <v>13</v>
      </c>
      <c r="Q405" s="54">
        <f t="shared" si="30"/>
        <v>1.304261020754806E-5</v>
      </c>
      <c r="S405" s="130"/>
    </row>
    <row r="406" spans="1:19" ht="15.75" hidden="1" thickBot="1" x14ac:dyDescent="0.3">
      <c r="A406" s="40" t="s">
        <v>579</v>
      </c>
      <c r="B406" s="69" t="str">
        <f t="shared" si="29"/>
        <v>ENFERMEDADES INMUNOPREVENIBLES</v>
      </c>
      <c r="C406" s="140" t="s">
        <v>784</v>
      </c>
      <c r="D406" s="141"/>
      <c r="E406" s="142"/>
      <c r="F406" s="142"/>
      <c r="G406" s="142"/>
      <c r="H406" s="142">
        <v>2</v>
      </c>
      <c r="I406" s="142">
        <v>1</v>
      </c>
      <c r="J406" s="142">
        <v>5</v>
      </c>
      <c r="K406" s="142">
        <v>1</v>
      </c>
      <c r="L406" s="142">
        <v>1</v>
      </c>
      <c r="M406" s="142">
        <v>1</v>
      </c>
      <c r="N406" s="83">
        <v>1</v>
      </c>
      <c r="O406" s="84">
        <v>1</v>
      </c>
      <c r="P406" s="45">
        <f t="shared" si="25"/>
        <v>13</v>
      </c>
      <c r="Q406" s="54">
        <f t="shared" si="30"/>
        <v>1.304261020754806E-5</v>
      </c>
      <c r="S406" s="130"/>
    </row>
    <row r="407" spans="1:19" ht="75.75" hidden="1" thickBot="1" x14ac:dyDescent="0.3">
      <c r="A407" s="40" t="s">
        <v>589</v>
      </c>
      <c r="B407" s="69" t="str">
        <f t="shared" si="29"/>
        <v>FALTA DE OPORTUNIDAD EN LA RESPUESTA DEL COMITÉ TÉCNICO CIENTÍFICO PARA MEDICAMENTOS NO-POS DE ENFERMEDADES RARAS O HUÉRFANAS</v>
      </c>
      <c r="C407" s="140" t="s">
        <v>996</v>
      </c>
      <c r="D407" s="141">
        <v>1</v>
      </c>
      <c r="E407" s="142"/>
      <c r="F407" s="142">
        <v>2</v>
      </c>
      <c r="G407" s="142">
        <v>1</v>
      </c>
      <c r="H407" s="142">
        <v>1</v>
      </c>
      <c r="I407" s="142"/>
      <c r="J407" s="142"/>
      <c r="K407" s="142"/>
      <c r="L407" s="142">
        <v>1</v>
      </c>
      <c r="M407" s="142"/>
      <c r="N407" s="83"/>
      <c r="O407" s="84">
        <v>6</v>
      </c>
      <c r="P407" s="45">
        <f t="shared" si="25"/>
        <v>12</v>
      </c>
      <c r="Q407" s="54">
        <f t="shared" si="30"/>
        <v>1.2039332499275132E-5</v>
      </c>
      <c r="S407" s="130"/>
    </row>
    <row r="408" spans="1:19" ht="45.75" hidden="1" thickBot="1" x14ac:dyDescent="0.3">
      <c r="A408" s="40" t="s">
        <v>548</v>
      </c>
      <c r="B408" s="69" t="str">
        <f t="shared" si="29"/>
        <v>NEGACIÓN EN LA RESPUESTA DEL COMITÉ TÉCNICO CIENTÍFICO PARA MEDICAMENTOS NO-POS</v>
      </c>
      <c r="C408" s="140" t="s">
        <v>997</v>
      </c>
      <c r="D408" s="141">
        <v>1</v>
      </c>
      <c r="E408" s="142"/>
      <c r="F408" s="142"/>
      <c r="G408" s="142">
        <v>2</v>
      </c>
      <c r="H408" s="142">
        <v>1</v>
      </c>
      <c r="I408" s="142">
        <v>2</v>
      </c>
      <c r="J408" s="142">
        <v>2</v>
      </c>
      <c r="K408" s="142"/>
      <c r="L408" s="142">
        <v>1</v>
      </c>
      <c r="M408" s="142"/>
      <c r="N408" s="83">
        <v>1</v>
      </c>
      <c r="O408" s="84">
        <v>1</v>
      </c>
      <c r="P408" s="45">
        <f t="shared" ref="P408:P442" si="31">SUM(D408:O408)</f>
        <v>11</v>
      </c>
      <c r="Q408" s="54">
        <f t="shared" si="30"/>
        <v>1.1036054791002204E-5</v>
      </c>
      <c r="S408" s="130"/>
    </row>
    <row r="409" spans="1:19" ht="30.75" hidden="1" thickBot="1" x14ac:dyDescent="0.3">
      <c r="A409" s="40" t="s">
        <v>581</v>
      </c>
      <c r="B409" s="69" t="str">
        <f t="shared" si="29"/>
        <v>NEGACIÓN DE AFILIACIÓN POR DUPLICIDAD DEL AFILIADO</v>
      </c>
      <c r="C409" s="140" t="s">
        <v>998</v>
      </c>
      <c r="D409" s="141">
        <v>1</v>
      </c>
      <c r="E409" s="142">
        <v>2</v>
      </c>
      <c r="F409" s="142">
        <v>2</v>
      </c>
      <c r="G409" s="142">
        <v>1</v>
      </c>
      <c r="H409" s="142">
        <v>1</v>
      </c>
      <c r="I409" s="142"/>
      <c r="J409" s="142">
        <v>1</v>
      </c>
      <c r="K409" s="142">
        <v>1</v>
      </c>
      <c r="L409" s="142"/>
      <c r="M409" s="142"/>
      <c r="N409" s="83">
        <v>1</v>
      </c>
      <c r="O409" s="84">
        <v>1</v>
      </c>
      <c r="P409" s="45">
        <f t="shared" si="31"/>
        <v>11</v>
      </c>
      <c r="Q409" s="54">
        <f t="shared" si="30"/>
        <v>1.1036054791002204E-5</v>
      </c>
      <c r="S409" s="130"/>
    </row>
    <row r="410" spans="1:19" ht="30.75" hidden="1" thickBot="1" x14ac:dyDescent="0.3">
      <c r="A410" s="40" t="s">
        <v>573</v>
      </c>
      <c r="B410" s="69" t="str">
        <f t="shared" si="29"/>
        <v>INCONFORMIDAD POR RESPUESTA TUTELA</v>
      </c>
      <c r="C410" s="140" t="s">
        <v>574</v>
      </c>
      <c r="D410" s="141">
        <v>1</v>
      </c>
      <c r="E410" s="142">
        <v>1</v>
      </c>
      <c r="F410" s="142"/>
      <c r="G410" s="142">
        <v>1</v>
      </c>
      <c r="H410" s="142">
        <v>2</v>
      </c>
      <c r="I410" s="142">
        <v>1</v>
      </c>
      <c r="J410" s="142">
        <v>1</v>
      </c>
      <c r="K410" s="142"/>
      <c r="L410" s="142"/>
      <c r="M410" s="142">
        <v>2</v>
      </c>
      <c r="N410" s="83"/>
      <c r="O410" s="84">
        <v>1</v>
      </c>
      <c r="P410" s="45">
        <f t="shared" si="31"/>
        <v>10</v>
      </c>
      <c r="Q410" s="54">
        <f t="shared" si="30"/>
        <v>1.0032777082729276E-5</v>
      </c>
      <c r="S410" s="130"/>
    </row>
    <row r="411" spans="1:19" ht="30.75" hidden="1" thickBot="1" x14ac:dyDescent="0.3">
      <c r="A411" s="40" t="s">
        <v>578</v>
      </c>
      <c r="B411" s="69" t="str">
        <f t="shared" si="29"/>
        <v>FALLAS RELACIONADAS A LA CARNETIZACIÓN</v>
      </c>
      <c r="C411" s="140" t="s">
        <v>999</v>
      </c>
      <c r="D411" s="141">
        <v>1</v>
      </c>
      <c r="E411" s="142">
        <v>1</v>
      </c>
      <c r="F411" s="142">
        <v>1</v>
      </c>
      <c r="G411" s="142"/>
      <c r="H411" s="142"/>
      <c r="I411" s="142">
        <v>1</v>
      </c>
      <c r="J411" s="142"/>
      <c r="K411" s="142">
        <v>2</v>
      </c>
      <c r="L411" s="142">
        <v>1</v>
      </c>
      <c r="M411" s="142">
        <v>1</v>
      </c>
      <c r="N411" s="83"/>
      <c r="O411" s="84">
        <v>1</v>
      </c>
      <c r="P411" s="45">
        <f t="shared" si="31"/>
        <v>9</v>
      </c>
      <c r="Q411" s="54">
        <f t="shared" si="30"/>
        <v>9.0294993744563485E-6</v>
      </c>
      <c r="S411" s="130"/>
    </row>
    <row r="412" spans="1:19" ht="60.75" hidden="1" thickBot="1" x14ac:dyDescent="0.3">
      <c r="A412" s="40" t="s">
        <v>558</v>
      </c>
      <c r="B412" s="69" t="str">
        <f t="shared" si="29"/>
        <v>INSUFICIENCIA DE RED PARA LA PRESTACIÓN DE LOS SERVICIOS DE SALUD NO-POS DEL RÉGIMEN SUBSIDIADO</v>
      </c>
      <c r="C412" s="140" t="s">
        <v>1000</v>
      </c>
      <c r="D412" s="141">
        <v>1</v>
      </c>
      <c r="E412" s="142">
        <v>1</v>
      </c>
      <c r="F412" s="142">
        <v>2</v>
      </c>
      <c r="G412" s="142"/>
      <c r="H412" s="142"/>
      <c r="I412" s="142"/>
      <c r="J412" s="142">
        <v>2</v>
      </c>
      <c r="K412" s="142">
        <v>1</v>
      </c>
      <c r="L412" s="142"/>
      <c r="M412" s="142"/>
      <c r="N412" s="83"/>
      <c r="O412" s="84">
        <v>2</v>
      </c>
      <c r="P412" s="45">
        <f t="shared" si="31"/>
        <v>9</v>
      </c>
      <c r="Q412" s="54">
        <f t="shared" si="30"/>
        <v>9.0294993744563485E-6</v>
      </c>
      <c r="S412" s="130"/>
    </row>
    <row r="413" spans="1:19" ht="45.75" hidden="1" thickBot="1" x14ac:dyDescent="0.3">
      <c r="A413" s="40" t="s">
        <v>577</v>
      </c>
      <c r="B413" s="69" t="str">
        <f t="shared" si="29"/>
        <v>NEGACIÓN DE LA AUTORIZACIÓN DE MEDICAMENTOS NO-POS PARA ENFERMEDADES RARAS O HUÉRFANAS</v>
      </c>
      <c r="C413" s="140" t="s">
        <v>1001</v>
      </c>
      <c r="D413" s="141">
        <v>1</v>
      </c>
      <c r="E413" s="142"/>
      <c r="F413" s="142"/>
      <c r="G413" s="142">
        <v>1</v>
      </c>
      <c r="H413" s="142"/>
      <c r="I413" s="142">
        <v>1</v>
      </c>
      <c r="J413" s="142">
        <v>2</v>
      </c>
      <c r="K413" s="142"/>
      <c r="L413" s="142">
        <v>3</v>
      </c>
      <c r="M413" s="142"/>
      <c r="N413" s="83">
        <v>1</v>
      </c>
      <c r="O413" s="84"/>
      <c r="P413" s="45">
        <f t="shared" si="31"/>
        <v>9</v>
      </c>
      <c r="Q413" s="54">
        <f t="shared" si="30"/>
        <v>9.0294993744563485E-6</v>
      </c>
      <c r="S413" s="130"/>
    </row>
    <row r="414" spans="1:19" ht="30.75" hidden="1" thickBot="1" x14ac:dyDescent="0.3">
      <c r="A414" s="40" t="s">
        <v>559</v>
      </c>
      <c r="B414" s="69" t="str">
        <f t="shared" si="29"/>
        <v>SUMINISTRO HOSPITALARIO NO- POS INSUFICIENTE</v>
      </c>
      <c r="C414" s="140" t="s">
        <v>790</v>
      </c>
      <c r="D414" s="141">
        <v>1</v>
      </c>
      <c r="E414" s="142"/>
      <c r="F414" s="142"/>
      <c r="G414" s="142">
        <v>1</v>
      </c>
      <c r="H414" s="142">
        <v>1</v>
      </c>
      <c r="I414" s="142">
        <v>1</v>
      </c>
      <c r="J414" s="142"/>
      <c r="K414" s="142">
        <v>2</v>
      </c>
      <c r="L414" s="142"/>
      <c r="M414" s="142"/>
      <c r="N414" s="83"/>
      <c r="O414" s="84">
        <v>1</v>
      </c>
      <c r="P414" s="45">
        <f t="shared" si="31"/>
        <v>7</v>
      </c>
      <c r="Q414" s="54">
        <f t="shared" si="30"/>
        <v>7.0229439579104937E-6</v>
      </c>
      <c r="S414" s="130"/>
    </row>
    <row r="415" spans="1:19" ht="60.75" hidden="1" thickBot="1" x14ac:dyDescent="0.3">
      <c r="A415" s="40" t="s">
        <v>792</v>
      </c>
      <c r="B415" s="69" t="str">
        <f t="shared" si="29"/>
        <v>INCUMPLIMIENTO DEL REPORTE DE LOS RIPS PARTE DE LOS PRESTADORES DE SERVICIOS DE SALUD A LAS ENTIDADES TERRITORIALES</v>
      </c>
      <c r="C415" s="140" t="s">
        <v>587</v>
      </c>
      <c r="D415" s="141"/>
      <c r="E415" s="142">
        <v>1</v>
      </c>
      <c r="F415" s="142"/>
      <c r="G415" s="142"/>
      <c r="H415" s="142"/>
      <c r="I415" s="142">
        <v>1</v>
      </c>
      <c r="J415" s="142">
        <v>1</v>
      </c>
      <c r="K415" s="142">
        <v>2</v>
      </c>
      <c r="L415" s="142">
        <v>1</v>
      </c>
      <c r="M415" s="142"/>
      <c r="N415" s="83"/>
      <c r="O415" s="84"/>
      <c r="P415" s="45">
        <f t="shared" si="31"/>
        <v>6</v>
      </c>
      <c r="Q415" s="54">
        <f t="shared" si="30"/>
        <v>6.0196662496375659E-6</v>
      </c>
      <c r="S415" s="130"/>
    </row>
    <row r="416" spans="1:19" ht="45.75" hidden="1" thickBot="1" x14ac:dyDescent="0.3">
      <c r="A416" s="40" t="s">
        <v>592</v>
      </c>
      <c r="B416" s="69" t="str">
        <f t="shared" si="29"/>
        <v>NEGACIÓN DE LA AUTORIZACIÓN DE SERVICIOS DE ALTO COSTO PARA: ENFERMEDADES HUÉRFANAS</v>
      </c>
      <c r="C416" s="140" t="s">
        <v>1002</v>
      </c>
      <c r="D416" s="141"/>
      <c r="E416" s="142"/>
      <c r="F416" s="142"/>
      <c r="G416" s="142"/>
      <c r="H416" s="142"/>
      <c r="I416" s="142">
        <v>1</v>
      </c>
      <c r="J416" s="142"/>
      <c r="K416" s="142">
        <v>2</v>
      </c>
      <c r="L416" s="142"/>
      <c r="M416" s="142">
        <v>1</v>
      </c>
      <c r="N416" s="83">
        <v>2</v>
      </c>
      <c r="O416" s="84"/>
      <c r="P416" s="45">
        <f t="shared" si="31"/>
        <v>6</v>
      </c>
      <c r="Q416" s="54">
        <f t="shared" si="30"/>
        <v>6.0196662496375659E-6</v>
      </c>
      <c r="S416" s="130"/>
    </row>
    <row r="417" spans="1:19" ht="45.75" hidden="1" thickBot="1" x14ac:dyDescent="0.3">
      <c r="A417" s="40" t="s">
        <v>594</v>
      </c>
      <c r="B417" s="69" t="str">
        <f t="shared" si="29"/>
        <v>INCUMPLIMIENTO DE COMPETENCIAS EN SALUD PÚBLICA (LABORATORIO DE SALUD PÚBLICA)</v>
      </c>
      <c r="C417" s="140" t="s">
        <v>1003</v>
      </c>
      <c r="D417" s="141">
        <v>2</v>
      </c>
      <c r="E417" s="142">
        <v>1</v>
      </c>
      <c r="F417" s="142">
        <v>1</v>
      </c>
      <c r="G417" s="142"/>
      <c r="H417" s="142"/>
      <c r="I417" s="142"/>
      <c r="J417" s="142">
        <v>2</v>
      </c>
      <c r="K417" s="142"/>
      <c r="L417" s="142"/>
      <c r="M417" s="142"/>
      <c r="N417" s="83"/>
      <c r="O417" s="84"/>
      <c r="P417" s="45">
        <f t="shared" si="31"/>
        <v>6</v>
      </c>
      <c r="Q417" s="54">
        <f t="shared" si="30"/>
        <v>6.0196662496375659E-6</v>
      </c>
      <c r="S417" s="130"/>
    </row>
    <row r="418" spans="1:19" ht="75.75" hidden="1" thickBot="1" x14ac:dyDescent="0.3">
      <c r="A418" s="40" t="s">
        <v>586</v>
      </c>
      <c r="B418" s="69" t="str">
        <f t="shared" si="29"/>
        <v>INCUMPLIMIENTO EN EL PROCESO DE PLANEACIÓN DE LAS ACCIONES DE SALUD PÚBLICA (DIAGNOSTICO, ELABORACIÓN Y APROBACIÓN DEL PLAN)</v>
      </c>
      <c r="C418" s="140" t="s">
        <v>1004</v>
      </c>
      <c r="D418" s="141">
        <v>1</v>
      </c>
      <c r="E418" s="142"/>
      <c r="F418" s="142">
        <v>1</v>
      </c>
      <c r="G418" s="142"/>
      <c r="H418" s="142">
        <v>1</v>
      </c>
      <c r="I418" s="142"/>
      <c r="J418" s="142"/>
      <c r="K418" s="142"/>
      <c r="L418" s="142">
        <v>1</v>
      </c>
      <c r="M418" s="142"/>
      <c r="N418" s="83">
        <v>1</v>
      </c>
      <c r="O418" s="84">
        <v>1</v>
      </c>
      <c r="P418" s="45">
        <f t="shared" si="31"/>
        <v>6</v>
      </c>
      <c r="Q418" s="54">
        <f t="shared" si="30"/>
        <v>6.0196662496375659E-6</v>
      </c>
      <c r="S418" s="130"/>
    </row>
    <row r="419" spans="1:19" ht="30.75" hidden="1" thickBot="1" x14ac:dyDescent="0.3">
      <c r="A419" s="40" t="s">
        <v>565</v>
      </c>
      <c r="B419" s="69" t="str">
        <f t="shared" si="29"/>
        <v>NEGACIÓN DE AFILIACIÓN A AGREMIACIONES O ASOCIACIONES</v>
      </c>
      <c r="C419" s="140" t="s">
        <v>593</v>
      </c>
      <c r="D419" s="141">
        <v>1</v>
      </c>
      <c r="E419" s="142"/>
      <c r="F419" s="142"/>
      <c r="G419" s="142">
        <v>2</v>
      </c>
      <c r="H419" s="142"/>
      <c r="I419" s="142"/>
      <c r="J419" s="142">
        <v>1</v>
      </c>
      <c r="K419" s="142">
        <v>1</v>
      </c>
      <c r="L419" s="142"/>
      <c r="M419" s="142"/>
      <c r="N419" s="83"/>
      <c r="O419" s="84">
        <v>1</v>
      </c>
      <c r="P419" s="45">
        <f t="shared" si="31"/>
        <v>6</v>
      </c>
      <c r="Q419" s="54">
        <f t="shared" si="30"/>
        <v>6.0196662496375659E-6</v>
      </c>
      <c r="S419" s="130"/>
    </row>
    <row r="420" spans="1:19" ht="30.75" hidden="1" thickBot="1" x14ac:dyDescent="0.3">
      <c r="A420" s="40" t="s">
        <v>597</v>
      </c>
      <c r="B420" s="69" t="str">
        <f t="shared" si="29"/>
        <v>NO REALIZACIÓN DEL TRIAGE AL USUARIO POR PARTE DEL PRESTADOR</v>
      </c>
      <c r="C420" s="140" t="s">
        <v>1005</v>
      </c>
      <c r="D420" s="141"/>
      <c r="E420" s="142">
        <v>1</v>
      </c>
      <c r="F420" s="142">
        <v>1</v>
      </c>
      <c r="G420" s="142">
        <v>1</v>
      </c>
      <c r="H420" s="142"/>
      <c r="I420" s="142"/>
      <c r="J420" s="142"/>
      <c r="K420" s="142"/>
      <c r="L420" s="142"/>
      <c r="M420" s="142"/>
      <c r="N420" s="83">
        <v>2</v>
      </c>
      <c r="O420" s="84"/>
      <c r="P420" s="45">
        <f t="shared" si="31"/>
        <v>5</v>
      </c>
      <c r="Q420" s="54">
        <f t="shared" si="30"/>
        <v>5.0163885413646381E-6</v>
      </c>
      <c r="S420" s="130"/>
    </row>
    <row r="421" spans="1:19" ht="60.75" hidden="1" thickBot="1" x14ac:dyDescent="0.3">
      <c r="A421" s="40" t="s">
        <v>781</v>
      </c>
      <c r="B421" s="69" t="str">
        <f t="shared" si="29"/>
        <v>INCUMPLIMIENTO DEL REPORTE DE LOS INDICADORES DE ALERTA TEMPRANA POR PARTE DE LOS PRESTADORES DE SERVICIOS DE SALUD A LAS EAPB</v>
      </c>
      <c r="C421" s="140" t="s">
        <v>774</v>
      </c>
      <c r="D421" s="141"/>
      <c r="E421" s="142"/>
      <c r="F421" s="142"/>
      <c r="G421" s="142">
        <v>1</v>
      </c>
      <c r="H421" s="142"/>
      <c r="I421" s="142"/>
      <c r="J421" s="142"/>
      <c r="K421" s="142"/>
      <c r="L421" s="142"/>
      <c r="M421" s="142">
        <v>2</v>
      </c>
      <c r="N421" s="83"/>
      <c r="O421" s="84">
        <v>2</v>
      </c>
      <c r="P421" s="45">
        <f t="shared" si="31"/>
        <v>5</v>
      </c>
      <c r="Q421" s="54">
        <f t="shared" si="30"/>
        <v>5.0163885413646381E-6</v>
      </c>
      <c r="S421" s="130"/>
    </row>
    <row r="422" spans="1:19" ht="30.75" hidden="1" thickBot="1" x14ac:dyDescent="0.3">
      <c r="A422" s="40" t="s">
        <v>570</v>
      </c>
      <c r="B422" s="69" t="str">
        <f t="shared" si="29"/>
        <v>CONVENIOS DOCENTES ASISTENCIALES (ESTUDIANTES EJERCIENDO)</v>
      </c>
      <c r="C422" s="140" t="s">
        <v>571</v>
      </c>
      <c r="D422" s="141">
        <v>1</v>
      </c>
      <c r="E422" s="142"/>
      <c r="F422" s="142">
        <v>1</v>
      </c>
      <c r="G422" s="142">
        <v>1</v>
      </c>
      <c r="H422" s="142"/>
      <c r="I422" s="142">
        <v>1</v>
      </c>
      <c r="J422" s="142"/>
      <c r="K422" s="142"/>
      <c r="L422" s="142"/>
      <c r="M422" s="142">
        <v>1</v>
      </c>
      <c r="N422" s="83"/>
      <c r="O422" s="84"/>
      <c r="P422" s="45">
        <f t="shared" si="31"/>
        <v>5</v>
      </c>
      <c r="Q422" s="54">
        <f t="shared" si="30"/>
        <v>5.0163885413646381E-6</v>
      </c>
      <c r="S422" s="130"/>
    </row>
    <row r="423" spans="1:19" ht="15.75" hidden="1" thickBot="1" x14ac:dyDescent="0.3">
      <c r="A423" s="40" t="s">
        <v>563</v>
      </c>
      <c r="B423" s="69" t="str">
        <f t="shared" si="29"/>
        <v>ENFERMEDAD CRÓNICA TRANSMISIBLE</v>
      </c>
      <c r="C423" s="140" t="s">
        <v>1006</v>
      </c>
      <c r="D423" s="141">
        <v>1</v>
      </c>
      <c r="E423" s="142"/>
      <c r="F423" s="142"/>
      <c r="G423" s="142">
        <v>2</v>
      </c>
      <c r="H423" s="142"/>
      <c r="I423" s="142"/>
      <c r="J423" s="142"/>
      <c r="K423" s="142"/>
      <c r="L423" s="142">
        <v>1</v>
      </c>
      <c r="M423" s="142"/>
      <c r="N423" s="83">
        <v>1</v>
      </c>
      <c r="O423" s="84"/>
      <c r="P423" s="45">
        <f t="shared" si="31"/>
        <v>5</v>
      </c>
      <c r="Q423" s="54">
        <f t="shared" si="30"/>
        <v>5.0163885413646381E-6</v>
      </c>
      <c r="S423" s="130"/>
    </row>
    <row r="424" spans="1:19" ht="30.75" hidden="1" thickBot="1" x14ac:dyDescent="0.3">
      <c r="A424" s="40" t="s">
        <v>596</v>
      </c>
      <c r="B424" s="69" t="str">
        <f t="shared" si="29"/>
        <v>NEGACIÓN DE LA CONSULTA MÉDICA ESPECIALIZADA DE OBSTETRICIA</v>
      </c>
      <c r="C424" s="140" t="s">
        <v>1007</v>
      </c>
      <c r="D424" s="141">
        <v>1</v>
      </c>
      <c r="E424" s="142"/>
      <c r="F424" s="142"/>
      <c r="G424" s="142"/>
      <c r="H424" s="142"/>
      <c r="I424" s="142"/>
      <c r="J424" s="142">
        <v>1</v>
      </c>
      <c r="K424" s="142">
        <v>1</v>
      </c>
      <c r="L424" s="142">
        <v>1</v>
      </c>
      <c r="M424" s="142"/>
      <c r="N424" s="83"/>
      <c r="O424" s="84"/>
      <c r="P424" s="45">
        <f t="shared" si="31"/>
        <v>4</v>
      </c>
      <c r="Q424" s="54">
        <f t="shared" si="30"/>
        <v>4.0131108330917103E-6</v>
      </c>
      <c r="S424" s="130"/>
    </row>
    <row r="425" spans="1:19" ht="45.75" hidden="1" thickBot="1" x14ac:dyDescent="0.3">
      <c r="A425" s="40" t="s">
        <v>769</v>
      </c>
      <c r="B425" s="69" t="str">
        <f t="shared" si="29"/>
        <v>NEGACIÓN DE LA AUTORIZACIÓN DE PROCEDIMIENTOS NO-POS PARA ENFERMEDADES RARAS O HUÉRFANAS</v>
      </c>
      <c r="C425" s="140" t="s">
        <v>1008</v>
      </c>
      <c r="D425" s="141"/>
      <c r="E425" s="142"/>
      <c r="F425" s="142"/>
      <c r="G425" s="142">
        <v>1</v>
      </c>
      <c r="H425" s="142"/>
      <c r="I425" s="142">
        <v>1</v>
      </c>
      <c r="J425" s="142"/>
      <c r="K425" s="142"/>
      <c r="L425" s="142">
        <v>1</v>
      </c>
      <c r="M425" s="142"/>
      <c r="N425" s="83"/>
      <c r="O425" s="84"/>
      <c r="P425" s="45">
        <f t="shared" si="31"/>
        <v>3</v>
      </c>
      <c r="Q425" s="54">
        <f t="shared" si="30"/>
        <v>3.009833124818783E-6</v>
      </c>
      <c r="S425" s="130"/>
    </row>
    <row r="426" spans="1:19" ht="45.75" hidden="1" thickBot="1" x14ac:dyDescent="0.3">
      <c r="A426" s="40" t="s">
        <v>595</v>
      </c>
      <c r="B426" s="69" t="str">
        <f t="shared" si="29"/>
        <v>INCUMPLIMIENTO EN LAS ACCIONES DE DEMANDA INDUCIDA POR PARTE DE LAS EPS</v>
      </c>
      <c r="C426" s="140" t="s">
        <v>576</v>
      </c>
      <c r="D426" s="141">
        <v>2</v>
      </c>
      <c r="E426" s="142"/>
      <c r="F426" s="142">
        <v>1</v>
      </c>
      <c r="G426" s="142"/>
      <c r="H426" s="142"/>
      <c r="I426" s="142"/>
      <c r="J426" s="142"/>
      <c r="K426" s="142"/>
      <c r="L426" s="142"/>
      <c r="M426" s="142"/>
      <c r="N426" s="83"/>
      <c r="O426" s="84"/>
      <c r="P426" s="45">
        <f t="shared" si="31"/>
        <v>3</v>
      </c>
      <c r="Q426" s="54">
        <f t="shared" si="30"/>
        <v>3.009833124818783E-6</v>
      </c>
      <c r="S426" s="130"/>
    </row>
    <row r="427" spans="1:19" ht="45.75" hidden="1" thickBot="1" x14ac:dyDescent="0.3">
      <c r="A427" s="40" t="s">
        <v>767</v>
      </c>
      <c r="B427" s="69" t="str">
        <f t="shared" si="29"/>
        <v>INCUMPLIMIENTO EN OTRAS ACCIONES OBLIGATORIAS DE VIGILANCIA EN SALUD PUBLICA</v>
      </c>
      <c r="C427" s="140" t="s">
        <v>766</v>
      </c>
      <c r="D427" s="141"/>
      <c r="E427" s="142"/>
      <c r="F427" s="142">
        <v>1</v>
      </c>
      <c r="G427" s="142">
        <v>1</v>
      </c>
      <c r="H427" s="142"/>
      <c r="I427" s="142">
        <v>1</v>
      </c>
      <c r="J427" s="142"/>
      <c r="K427" s="142"/>
      <c r="L427" s="142"/>
      <c r="M427" s="142"/>
      <c r="N427" s="83"/>
      <c r="O427" s="84"/>
      <c r="P427" s="45">
        <f t="shared" si="31"/>
        <v>3</v>
      </c>
      <c r="Q427" s="54">
        <f t="shared" si="30"/>
        <v>3.009833124818783E-6</v>
      </c>
      <c r="S427" s="130"/>
    </row>
    <row r="428" spans="1:19" ht="60.75" hidden="1" thickBot="1" x14ac:dyDescent="0.3">
      <c r="A428" s="40" t="s">
        <v>791</v>
      </c>
      <c r="B428" s="69" t="str">
        <f t="shared" si="29"/>
        <v>NO RECONOCIMIENTO DE LAS PRESTACIONES ECONÓMICAS DERIVADAS POR LICENCIA DE ADOPCIÓN</v>
      </c>
      <c r="C428" s="140" t="s">
        <v>1009</v>
      </c>
      <c r="D428" s="141"/>
      <c r="E428" s="142"/>
      <c r="F428" s="142"/>
      <c r="G428" s="142"/>
      <c r="H428" s="142"/>
      <c r="I428" s="142">
        <v>1</v>
      </c>
      <c r="J428" s="142"/>
      <c r="K428" s="142">
        <v>1</v>
      </c>
      <c r="L428" s="142"/>
      <c r="M428" s="142"/>
      <c r="N428" s="83">
        <v>1</v>
      </c>
      <c r="O428" s="84"/>
      <c r="P428" s="45">
        <f t="shared" si="31"/>
        <v>3</v>
      </c>
      <c r="Q428" s="54">
        <f t="shared" si="30"/>
        <v>3.009833124818783E-6</v>
      </c>
      <c r="S428" s="130"/>
    </row>
    <row r="429" spans="1:19" ht="45.75" hidden="1" thickBot="1" x14ac:dyDescent="0.3">
      <c r="A429" s="40" t="s">
        <v>770</v>
      </c>
      <c r="B429" s="69" t="str">
        <f t="shared" si="29"/>
        <v>NEGACIÓN EN LA RESPUESTA DEL COMITÉ TÉCNICO CIENTÍFICO PARA PROCEDIMIENTOS NO-POS</v>
      </c>
      <c r="C429" s="140" t="s">
        <v>1010</v>
      </c>
      <c r="D429" s="141">
        <v>1</v>
      </c>
      <c r="E429" s="142"/>
      <c r="F429" s="142">
        <v>1</v>
      </c>
      <c r="G429" s="142"/>
      <c r="H429" s="142"/>
      <c r="I429" s="142">
        <v>1</v>
      </c>
      <c r="J429" s="142"/>
      <c r="K429" s="142"/>
      <c r="L429" s="142"/>
      <c r="M429" s="142"/>
      <c r="N429" s="83"/>
      <c r="O429" s="84"/>
      <c r="P429" s="45">
        <f t="shared" si="31"/>
        <v>3</v>
      </c>
      <c r="Q429" s="54">
        <f t="shared" si="30"/>
        <v>3.009833124818783E-6</v>
      </c>
      <c r="S429" s="130"/>
    </row>
    <row r="430" spans="1:19" ht="30.75" hidden="1" thickBot="1" x14ac:dyDescent="0.3">
      <c r="A430" s="40" t="s">
        <v>777</v>
      </c>
      <c r="B430" s="69" t="str">
        <f t="shared" si="29"/>
        <v>DEMORAS EN EL PROCESO DE POSTULACIÓN POR PARTE DE LA EAPB</v>
      </c>
      <c r="C430" s="140" t="s">
        <v>765</v>
      </c>
      <c r="D430" s="141"/>
      <c r="E430" s="142"/>
      <c r="F430" s="142">
        <v>1</v>
      </c>
      <c r="G430" s="142"/>
      <c r="H430" s="142"/>
      <c r="I430" s="142"/>
      <c r="J430" s="142"/>
      <c r="K430" s="142"/>
      <c r="L430" s="142"/>
      <c r="M430" s="142"/>
      <c r="N430" s="83">
        <v>1</v>
      </c>
      <c r="O430" s="84">
        <v>1</v>
      </c>
      <c r="P430" s="45">
        <f t="shared" si="31"/>
        <v>3</v>
      </c>
      <c r="Q430" s="54">
        <f t="shared" si="30"/>
        <v>3.009833124818783E-6</v>
      </c>
      <c r="S430" s="130"/>
    </row>
    <row r="431" spans="1:19" ht="45.75" hidden="1" thickBot="1" x14ac:dyDescent="0.3">
      <c r="A431" s="40" t="s">
        <v>1024</v>
      </c>
      <c r="B431" s="69" t="str">
        <f t="shared" si="29"/>
        <v>FALTA DE EVALUACIÓN POR PARTE DE LAS EPS DEL IMPACTO DE LAS ACCIONES DE DEMANDA INDUCIDA</v>
      </c>
      <c r="C431" s="140" t="s">
        <v>1011</v>
      </c>
      <c r="D431" s="141"/>
      <c r="E431" s="142"/>
      <c r="F431" s="142">
        <v>1</v>
      </c>
      <c r="G431" s="142">
        <v>1</v>
      </c>
      <c r="H431" s="142"/>
      <c r="I431" s="142"/>
      <c r="J431" s="142">
        <v>1</v>
      </c>
      <c r="K431" s="142"/>
      <c r="L431" s="142"/>
      <c r="M431" s="142"/>
      <c r="N431" s="83"/>
      <c r="O431" s="84"/>
      <c r="P431" s="45">
        <f t="shared" si="31"/>
        <v>3</v>
      </c>
      <c r="Q431" s="54">
        <f t="shared" si="30"/>
        <v>3.009833124818783E-6</v>
      </c>
      <c r="S431" s="130"/>
    </row>
    <row r="432" spans="1:19" ht="60.75" hidden="1" thickBot="1" x14ac:dyDescent="0.3">
      <c r="A432" s="40" t="s">
        <v>575</v>
      </c>
      <c r="B432" s="69" t="str">
        <f t="shared" si="29"/>
        <v>INCUMPLIMIENTO DE ACCIONES DE SEGUIMIENTO Y ATENCIÓN DE LAS ENFERMEDADES DE INTERÉS EN SALUD PÚBLICA-VIH</v>
      </c>
      <c r="C432" s="140" t="s">
        <v>1012</v>
      </c>
      <c r="D432" s="141"/>
      <c r="E432" s="142"/>
      <c r="F432" s="142"/>
      <c r="G432" s="142"/>
      <c r="H432" s="142"/>
      <c r="I432" s="142"/>
      <c r="J432" s="142"/>
      <c r="K432" s="142"/>
      <c r="L432" s="142"/>
      <c r="M432" s="142"/>
      <c r="N432" s="83"/>
      <c r="O432" s="84">
        <v>3</v>
      </c>
      <c r="P432" s="45">
        <f t="shared" si="31"/>
        <v>3</v>
      </c>
      <c r="Q432" s="54">
        <f t="shared" si="30"/>
        <v>3.009833124818783E-6</v>
      </c>
      <c r="S432" s="130"/>
    </row>
    <row r="433" spans="1:19" ht="60.75" hidden="1" thickBot="1" x14ac:dyDescent="0.3">
      <c r="A433" s="40" t="s">
        <v>806</v>
      </c>
      <c r="B433" s="69" t="str">
        <f t="shared" ref="B433:B439" si="32">+C433</f>
        <v>INCUMPLIMIENTO EN DEFINICIÓN DE PROCESOS Y PROCEDIMIENTOS DE GESTIÓN, OPERACIÓN Y CONTROL DE LAS ACCIONES DE SALUD PUBLICA</v>
      </c>
      <c r="C433" s="140" t="s">
        <v>1013</v>
      </c>
      <c r="D433" s="141"/>
      <c r="E433" s="142"/>
      <c r="F433" s="142"/>
      <c r="G433" s="142"/>
      <c r="H433" s="142"/>
      <c r="I433" s="142"/>
      <c r="J433" s="142">
        <v>1</v>
      </c>
      <c r="K433" s="142">
        <v>1</v>
      </c>
      <c r="L433" s="142"/>
      <c r="M433" s="142"/>
      <c r="N433" s="83"/>
      <c r="O433" s="84"/>
      <c r="P433" s="45">
        <f t="shared" si="31"/>
        <v>2</v>
      </c>
      <c r="Q433" s="54">
        <f t="shared" ref="Q433:Q439" si="33">+P433/$P$445</f>
        <v>2.0065554165458552E-6</v>
      </c>
      <c r="S433" s="130"/>
    </row>
    <row r="434" spans="1:19" ht="45.75" hidden="1" thickBot="1" x14ac:dyDescent="0.3">
      <c r="A434" s="40" t="s">
        <v>775</v>
      </c>
      <c r="B434" s="69" t="str">
        <f t="shared" si="32"/>
        <v>NEGACIÓN DE LA CONSULTA MÉDICA ESPECIALIZADA PARA ENFERMEDADES RARAS O HUÉRFANAS</v>
      </c>
      <c r="C434" s="140" t="s">
        <v>1014</v>
      </c>
      <c r="D434" s="141"/>
      <c r="E434" s="142"/>
      <c r="F434" s="142"/>
      <c r="G434" s="142"/>
      <c r="H434" s="142"/>
      <c r="I434" s="142"/>
      <c r="J434" s="142"/>
      <c r="K434" s="142">
        <v>1</v>
      </c>
      <c r="L434" s="142">
        <v>1</v>
      </c>
      <c r="M434" s="142"/>
      <c r="N434" s="83"/>
      <c r="O434" s="84"/>
      <c r="P434" s="45">
        <f t="shared" si="31"/>
        <v>2</v>
      </c>
      <c r="Q434" s="54">
        <f t="shared" si="33"/>
        <v>2.0065554165458552E-6</v>
      </c>
      <c r="S434" s="130"/>
    </row>
    <row r="435" spans="1:19" ht="60.75" hidden="1" thickBot="1" x14ac:dyDescent="0.3">
      <c r="A435" s="40" t="s">
        <v>778</v>
      </c>
      <c r="B435" s="69" t="str">
        <f t="shared" si="32"/>
        <v>INCUMPLIMIENTO EN LAS ACCIONES DIRIGIDAS A LAS ENFERMEDADES CRÓNICAS TRANSMISIBLES (TUBERCULOSIS Y LEPRA)</v>
      </c>
      <c r="C435" s="140" t="s">
        <v>1015</v>
      </c>
      <c r="D435" s="141"/>
      <c r="E435" s="142"/>
      <c r="F435" s="142"/>
      <c r="G435" s="142">
        <v>1</v>
      </c>
      <c r="H435" s="142"/>
      <c r="I435" s="142"/>
      <c r="J435" s="142"/>
      <c r="K435" s="142"/>
      <c r="L435" s="142">
        <v>1</v>
      </c>
      <c r="M435" s="142"/>
      <c r="N435" s="83"/>
      <c r="O435" s="84"/>
      <c r="P435" s="45">
        <f t="shared" si="31"/>
        <v>2</v>
      </c>
      <c r="Q435" s="54">
        <f t="shared" si="33"/>
        <v>2.0065554165458552E-6</v>
      </c>
      <c r="S435" s="130"/>
    </row>
    <row r="436" spans="1:19" ht="30.75" hidden="1" thickBot="1" x14ac:dyDescent="0.3">
      <c r="A436" s="40" t="s">
        <v>805</v>
      </c>
      <c r="B436" s="69" t="str">
        <f t="shared" si="32"/>
        <v>INCUMPLIMIENTO DE LA DECISIÓN DEL COMITÉ TÉCNICO CIENTÍFICO</v>
      </c>
      <c r="C436" s="140" t="s">
        <v>1016</v>
      </c>
      <c r="D436" s="141"/>
      <c r="E436" s="142"/>
      <c r="F436" s="142"/>
      <c r="G436" s="142">
        <v>2</v>
      </c>
      <c r="H436" s="142"/>
      <c r="I436" s="142"/>
      <c r="J436" s="142"/>
      <c r="K436" s="142"/>
      <c r="L436" s="142"/>
      <c r="M436" s="142"/>
      <c r="N436" s="83"/>
      <c r="O436" s="84"/>
      <c r="P436" s="45">
        <f t="shared" si="31"/>
        <v>2</v>
      </c>
      <c r="Q436" s="54">
        <f t="shared" si="33"/>
        <v>2.0065554165458552E-6</v>
      </c>
      <c r="S436" s="130"/>
    </row>
    <row r="437" spans="1:19" ht="30.75" hidden="1" thickBot="1" x14ac:dyDescent="0.3">
      <c r="A437" s="40" t="s">
        <v>588</v>
      </c>
      <c r="B437" s="69" t="str">
        <f t="shared" si="32"/>
        <v>NEGACIÓN AFILIACIÓN (PARA ENFERMEDADES RARAS O HUÉRFANAS)</v>
      </c>
      <c r="C437" s="140" t="s">
        <v>1017</v>
      </c>
      <c r="D437" s="141"/>
      <c r="E437" s="142">
        <v>1</v>
      </c>
      <c r="F437" s="142"/>
      <c r="G437" s="142"/>
      <c r="H437" s="142"/>
      <c r="I437" s="142"/>
      <c r="J437" s="142"/>
      <c r="K437" s="142">
        <v>1</v>
      </c>
      <c r="L437" s="142"/>
      <c r="M437" s="142"/>
      <c r="N437" s="83"/>
      <c r="O437" s="84"/>
      <c r="P437" s="45">
        <f t="shared" si="31"/>
        <v>2</v>
      </c>
      <c r="Q437" s="54">
        <f t="shared" si="33"/>
        <v>2.0065554165458552E-6</v>
      </c>
      <c r="S437" s="130"/>
    </row>
    <row r="438" spans="1:19" ht="45.75" hidden="1" thickBot="1" x14ac:dyDescent="0.3">
      <c r="A438" s="40" t="s">
        <v>779</v>
      </c>
      <c r="B438" s="69" t="str">
        <f t="shared" si="32"/>
        <v>INCUMPLIMIENTO EN ASISTENCIA TÉCNICA, SEGUIMIENTO Y EVALUACIÓN A MUNICIPIOS</v>
      </c>
      <c r="C438" s="140" t="s">
        <v>1018</v>
      </c>
      <c r="D438" s="141"/>
      <c r="E438" s="142"/>
      <c r="F438" s="142"/>
      <c r="G438" s="142"/>
      <c r="H438" s="142"/>
      <c r="I438" s="142"/>
      <c r="J438" s="142"/>
      <c r="K438" s="142"/>
      <c r="L438" s="142">
        <v>1</v>
      </c>
      <c r="M438" s="142"/>
      <c r="N438" s="83"/>
      <c r="O438" s="84"/>
      <c r="P438" s="45">
        <f t="shared" si="31"/>
        <v>1</v>
      </c>
      <c r="Q438" s="54">
        <f t="shared" si="33"/>
        <v>1.0032777082729276E-6</v>
      </c>
      <c r="S438" s="130"/>
    </row>
    <row r="439" spans="1:19" ht="75.75" hidden="1" thickBot="1" x14ac:dyDescent="0.3">
      <c r="A439" s="40" t="s">
        <v>776</v>
      </c>
      <c r="B439" s="69" t="str">
        <f t="shared" si="32"/>
        <v>FALTA DE OPORTUNIDAD EN LA RESPUESTA DEL COMITÉ TÉCNICO CIENTÍFICO PARA PROCEDIMIENTOS NO-POS DE ENFERMEDADES RARAS O HUÉRFANAS</v>
      </c>
      <c r="C439" s="140" t="s">
        <v>1019</v>
      </c>
      <c r="D439" s="141"/>
      <c r="E439" s="142"/>
      <c r="F439" s="142"/>
      <c r="G439" s="142">
        <v>1</v>
      </c>
      <c r="H439" s="142"/>
      <c r="I439" s="142"/>
      <c r="J439" s="142"/>
      <c r="K439" s="142"/>
      <c r="L439" s="142"/>
      <c r="M439" s="142"/>
      <c r="N439" s="83"/>
      <c r="O439" s="84"/>
      <c r="P439" s="45">
        <f t="shared" si="31"/>
        <v>1</v>
      </c>
      <c r="Q439" s="54">
        <f t="shared" si="33"/>
        <v>1.0032777082729276E-6</v>
      </c>
      <c r="S439" s="130"/>
    </row>
    <row r="440" spans="1:19" ht="30.75" hidden="1" thickBot="1" x14ac:dyDescent="0.3">
      <c r="A440" s="40" t="s">
        <v>807</v>
      </c>
      <c r="B440" s="69"/>
      <c r="C440" s="140" t="s">
        <v>1020</v>
      </c>
      <c r="D440" s="141"/>
      <c r="E440" s="142"/>
      <c r="F440" s="142"/>
      <c r="G440" s="142">
        <v>1</v>
      </c>
      <c r="H440" s="142"/>
      <c r="I440" s="142"/>
      <c r="J440" s="142"/>
      <c r="K440" s="142"/>
      <c r="L440" s="142"/>
      <c r="M440" s="142"/>
      <c r="N440" s="83"/>
      <c r="O440" s="84"/>
      <c r="P440" s="45">
        <f t="shared" ref="P440" si="34">SUM(D440:O440)</f>
        <v>1</v>
      </c>
      <c r="Q440" s="54"/>
      <c r="S440" s="130"/>
    </row>
    <row r="441" spans="1:19" ht="45.75" hidden="1" thickBot="1" x14ac:dyDescent="0.3">
      <c r="A441" s="40" t="s">
        <v>780</v>
      </c>
      <c r="B441" s="69"/>
      <c r="C441" s="140" t="s">
        <v>1021</v>
      </c>
      <c r="D441" s="141"/>
      <c r="E441" s="142"/>
      <c r="F441" s="142"/>
      <c r="G441" s="142"/>
      <c r="H441" s="142">
        <v>1</v>
      </c>
      <c r="I441" s="142"/>
      <c r="J441" s="142"/>
      <c r="K441" s="142"/>
      <c r="L441" s="142"/>
      <c r="M441" s="142"/>
      <c r="N441" s="83"/>
      <c r="O441" s="84"/>
      <c r="P441" s="45"/>
      <c r="Q441" s="54"/>
      <c r="S441" s="130"/>
    </row>
    <row r="442" spans="1:19" ht="45.75" hidden="1" thickBot="1" x14ac:dyDescent="0.3">
      <c r="A442" s="40" t="s">
        <v>1025</v>
      </c>
      <c r="B442" s="69"/>
      <c r="C442" s="140" t="s">
        <v>1022</v>
      </c>
      <c r="D442" s="141"/>
      <c r="E442" s="142"/>
      <c r="F442" s="142"/>
      <c r="G442" s="142">
        <v>1</v>
      </c>
      <c r="H442" s="142"/>
      <c r="I442" s="142"/>
      <c r="J442" s="142"/>
      <c r="K442" s="142"/>
      <c r="L442" s="142"/>
      <c r="M442" s="142"/>
      <c r="N442" s="83"/>
      <c r="O442" s="84"/>
      <c r="P442" s="45">
        <f t="shared" si="31"/>
        <v>1</v>
      </c>
      <c r="Q442" s="54"/>
      <c r="S442" s="130"/>
    </row>
    <row r="443" spans="1:19" ht="45.75" hidden="1" thickBot="1" x14ac:dyDescent="0.3">
      <c r="A443" s="40" t="s">
        <v>786</v>
      </c>
      <c r="B443" s="69"/>
      <c r="C443" s="140" t="s">
        <v>1023</v>
      </c>
      <c r="D443" s="141"/>
      <c r="E443" s="142"/>
      <c r="F443" s="142"/>
      <c r="G443" s="142"/>
      <c r="H443" s="142"/>
      <c r="I443" s="142"/>
      <c r="J443" s="142"/>
      <c r="K443" s="142"/>
      <c r="L443" s="142"/>
      <c r="M443" s="142"/>
      <c r="N443" s="83"/>
      <c r="O443" s="84">
        <v>1</v>
      </c>
      <c r="P443" s="45"/>
      <c r="Q443" s="54"/>
      <c r="S443" s="130"/>
    </row>
    <row r="444" spans="1:19" ht="26.25" thickBot="1" x14ac:dyDescent="0.3">
      <c r="C444" s="43" t="s">
        <v>78</v>
      </c>
      <c r="D444" s="100">
        <f>SUM(D152:D161)</f>
        <v>35183</v>
      </c>
      <c r="E444" s="101">
        <f t="shared" ref="E444:P444" si="35">SUM(E152:E161)</f>
        <v>38933</v>
      </c>
      <c r="F444" s="101">
        <f t="shared" si="35"/>
        <v>44385</v>
      </c>
      <c r="G444" s="101">
        <f t="shared" si="35"/>
        <v>40484</v>
      </c>
      <c r="H444" s="101">
        <f t="shared" si="35"/>
        <v>35109</v>
      </c>
      <c r="I444" s="101">
        <f t="shared" si="35"/>
        <v>42616</v>
      </c>
      <c r="J444" s="101">
        <f t="shared" si="35"/>
        <v>48691</v>
      </c>
      <c r="K444" s="101">
        <f t="shared" si="35"/>
        <v>52215</v>
      </c>
      <c r="L444" s="101">
        <f t="shared" si="35"/>
        <v>56984</v>
      </c>
      <c r="M444" s="101">
        <f t="shared" si="35"/>
        <v>52922</v>
      </c>
      <c r="N444" s="100">
        <f t="shared" si="35"/>
        <v>57724</v>
      </c>
      <c r="O444" s="101">
        <f t="shared" si="35"/>
        <v>41551</v>
      </c>
      <c r="P444" s="102">
        <f t="shared" si="35"/>
        <v>546797</v>
      </c>
      <c r="Q444" s="103">
        <f t="shared" ref="Q444:Q445" si="36">+P444/$P$445</f>
        <v>0.54858924105051199</v>
      </c>
      <c r="S444" s="130"/>
    </row>
    <row r="445" spans="1:19" ht="27" customHeight="1" thickBot="1" x14ac:dyDescent="0.3">
      <c r="C445" s="43" t="s">
        <v>79</v>
      </c>
      <c r="D445" s="99">
        <f t="shared" ref="D445:O445" si="37">SUM(D152:D443)</f>
        <v>72794</v>
      </c>
      <c r="E445" s="99">
        <f t="shared" si="37"/>
        <v>77757</v>
      </c>
      <c r="F445" s="99">
        <f t="shared" si="37"/>
        <v>85093</v>
      </c>
      <c r="G445" s="99">
        <f t="shared" si="37"/>
        <v>81980</v>
      </c>
      <c r="H445" s="99">
        <f t="shared" si="37"/>
        <v>72385</v>
      </c>
      <c r="I445" s="99">
        <f t="shared" si="37"/>
        <v>81817</v>
      </c>
      <c r="J445" s="99">
        <f t="shared" si="37"/>
        <v>87779</v>
      </c>
      <c r="K445" s="99">
        <f t="shared" si="37"/>
        <v>90663</v>
      </c>
      <c r="L445" s="99">
        <f t="shared" si="37"/>
        <v>95124</v>
      </c>
      <c r="M445" s="99">
        <f t="shared" si="37"/>
        <v>85871</v>
      </c>
      <c r="N445" s="99">
        <f t="shared" si="37"/>
        <v>93356</v>
      </c>
      <c r="O445" s="99">
        <f t="shared" si="37"/>
        <v>72114</v>
      </c>
      <c r="P445" s="99">
        <f>+SUM(D445:O445)</f>
        <v>996733</v>
      </c>
      <c r="Q445" s="98">
        <f t="shared" si="36"/>
        <v>1</v>
      </c>
    </row>
    <row r="446" spans="1:19" ht="24" customHeight="1" x14ac:dyDescent="0.25">
      <c r="C446" s="151" t="s">
        <v>742</v>
      </c>
      <c r="D446" s="151"/>
      <c r="E446" s="151"/>
      <c r="F446" s="151"/>
      <c r="G446" s="151"/>
      <c r="H446" s="151"/>
      <c r="I446" s="151"/>
      <c r="J446" s="151"/>
      <c r="K446" s="151"/>
      <c r="L446" s="151"/>
      <c r="M446" s="151"/>
      <c r="N446" s="151"/>
      <c r="O446" s="151"/>
      <c r="P446" s="151"/>
      <c r="Q446" s="151"/>
    </row>
    <row r="447" spans="1:19" x14ac:dyDescent="0.25">
      <c r="C447" s="151" t="str">
        <f>C15</f>
        <v>FUENTE: BASE DE DATOS SNS AÑO 2.021 (ENERO-DICIEMBRE)</v>
      </c>
      <c r="D447" s="151"/>
      <c r="E447" s="151"/>
      <c r="F447" s="151"/>
      <c r="G447" s="151"/>
      <c r="H447" s="151"/>
      <c r="I447" s="151"/>
      <c r="J447" s="151"/>
      <c r="K447" s="151"/>
      <c r="L447" s="151"/>
      <c r="M447" s="151"/>
      <c r="N447" s="151"/>
      <c r="O447" s="151"/>
      <c r="P447" s="151"/>
      <c r="Q447" s="151"/>
    </row>
    <row r="450" spans="1:19" ht="15.75" x14ac:dyDescent="0.25">
      <c r="C450" s="4" t="s">
        <v>80</v>
      </c>
    </row>
    <row r="451" spans="1:19" ht="16.5" thickBot="1" x14ac:dyDescent="0.3">
      <c r="C451" s="4"/>
    </row>
    <row r="452" spans="1:19" ht="15.75" thickBot="1" x14ac:dyDescent="0.3">
      <c r="C452" s="159" t="str">
        <f>+C95</f>
        <v>CÁLCULO DE TASA CON EL NÚMERO DE AFILIADOS DEL ÚLTIMO MES</v>
      </c>
      <c r="D452" s="160"/>
      <c r="E452" s="160"/>
      <c r="F452" s="160"/>
      <c r="G452" s="160"/>
      <c r="H452" s="160"/>
      <c r="I452" s="160"/>
      <c r="J452" s="160"/>
      <c r="K452" s="160"/>
      <c r="L452" s="160"/>
      <c r="M452" s="160"/>
      <c r="N452" s="160"/>
      <c r="O452" s="160"/>
      <c r="P452" s="160"/>
      <c r="Q452" s="160"/>
      <c r="R452" s="161"/>
    </row>
    <row r="453" spans="1:19" ht="35.25" customHeight="1" thickBot="1" x14ac:dyDescent="0.3">
      <c r="A453" s="36" t="s">
        <v>223</v>
      </c>
      <c r="B453" s="36" t="s">
        <v>598</v>
      </c>
      <c r="C453" s="47" t="s">
        <v>81</v>
      </c>
      <c r="D453" s="48" t="s">
        <v>2</v>
      </c>
      <c r="E453" s="48" t="s">
        <v>3</v>
      </c>
      <c r="F453" s="48" t="s">
        <v>4</v>
      </c>
      <c r="G453" s="48" t="s">
        <v>5</v>
      </c>
      <c r="H453" s="48" t="s">
        <v>6</v>
      </c>
      <c r="I453" s="48" t="s">
        <v>7</v>
      </c>
      <c r="J453" s="48" t="s">
        <v>8</v>
      </c>
      <c r="K453" s="48" t="s">
        <v>9</v>
      </c>
      <c r="L453" s="48" t="s">
        <v>10</v>
      </c>
      <c r="M453" s="48" t="s">
        <v>11</v>
      </c>
      <c r="N453" s="48" t="s">
        <v>12</v>
      </c>
      <c r="O453" s="48" t="s">
        <v>13</v>
      </c>
      <c r="P453" s="49" t="str">
        <f>P9</f>
        <v>TOTAL AÑO 2.021</v>
      </c>
      <c r="Q453" s="57" t="s">
        <v>1026</v>
      </c>
      <c r="R453" s="53" t="s">
        <v>158</v>
      </c>
    </row>
    <row r="454" spans="1:19" s="8" customFormat="1" ht="15.75" thickBot="1" x14ac:dyDescent="0.3">
      <c r="A454" s="33" t="s">
        <v>601</v>
      </c>
      <c r="B454" s="33" t="s">
        <v>602</v>
      </c>
      <c r="C454" s="106" t="s">
        <v>602</v>
      </c>
      <c r="D454" s="59">
        <v>4460</v>
      </c>
      <c r="E454" s="92">
        <v>4392</v>
      </c>
      <c r="F454" s="92">
        <v>5144</v>
      </c>
      <c r="G454" s="92">
        <v>5137</v>
      </c>
      <c r="H454" s="92">
        <v>5639</v>
      </c>
      <c r="I454" s="92">
        <v>6861</v>
      </c>
      <c r="J454" s="92">
        <f>VLOOKUP(C454,[2]Hoja1!$A$172:$K$186,8,FALSE)</f>
        <v>5932</v>
      </c>
      <c r="K454" s="92">
        <f>VLOOKUP(C454,[2]Hoja1!$A$172:$K$186,9,FALSE)</f>
        <v>5219</v>
      </c>
      <c r="L454" s="59">
        <v>5204</v>
      </c>
      <c r="M454" s="59">
        <v>4355</v>
      </c>
      <c r="N454" s="92">
        <v>4518</v>
      </c>
      <c r="O454" s="59">
        <v>3697</v>
      </c>
      <c r="P454" s="107">
        <f t="shared" ref="P454:P467" si="38">SUM(D454:O454)</f>
        <v>60558</v>
      </c>
      <c r="Q454" s="92">
        <v>1196227</v>
      </c>
      <c r="R454" s="108">
        <f t="shared" ref="R454:R467" si="39">+P454/Q454*1000</f>
        <v>50.624170830452748</v>
      </c>
      <c r="S454" s="134"/>
    </row>
    <row r="455" spans="1:19" s="8" customFormat="1" ht="15.75" thickBot="1" x14ac:dyDescent="0.3">
      <c r="A455" s="33" t="s">
        <v>599</v>
      </c>
      <c r="B455" s="33" t="s">
        <v>600</v>
      </c>
      <c r="C455" s="106" t="s">
        <v>600</v>
      </c>
      <c r="D455" s="59">
        <v>3400</v>
      </c>
      <c r="E455" s="92">
        <v>3500</v>
      </c>
      <c r="F455" s="92">
        <v>3797</v>
      </c>
      <c r="G455" s="92">
        <v>3635</v>
      </c>
      <c r="H455" s="92">
        <v>2900</v>
      </c>
      <c r="I455" s="92">
        <v>3476</v>
      </c>
      <c r="J455" s="92">
        <f>VLOOKUP(C455,[2]Hoja1!$A$172:$K$186,8,FALSE)</f>
        <v>4275</v>
      </c>
      <c r="K455" s="92">
        <f>VLOOKUP(C455,[2]Hoja1!$A$172:$K$186,9,FALSE)</f>
        <v>4202</v>
      </c>
      <c r="L455" s="59">
        <v>4337</v>
      </c>
      <c r="M455" s="59">
        <v>4118</v>
      </c>
      <c r="N455" s="92">
        <v>3860</v>
      </c>
      <c r="O455" s="59">
        <v>3525</v>
      </c>
      <c r="P455" s="107">
        <f t="shared" si="38"/>
        <v>45025</v>
      </c>
      <c r="Q455" s="92">
        <v>893161</v>
      </c>
      <c r="R455" s="108">
        <f t="shared" si="39"/>
        <v>50.410844181508153</v>
      </c>
      <c r="S455" s="134"/>
    </row>
    <row r="456" spans="1:19" s="8" customFormat="1" ht="15.75" thickBot="1" x14ac:dyDescent="0.3">
      <c r="A456" s="33" t="s">
        <v>605</v>
      </c>
      <c r="B456" s="33" t="s">
        <v>606</v>
      </c>
      <c r="C456" s="106" t="s">
        <v>606</v>
      </c>
      <c r="D456" s="59">
        <v>2917</v>
      </c>
      <c r="E456" s="92">
        <v>2571</v>
      </c>
      <c r="F456" s="92">
        <v>2652</v>
      </c>
      <c r="G456" s="92">
        <v>2588</v>
      </c>
      <c r="H456" s="92">
        <v>1815</v>
      </c>
      <c r="I456" s="92">
        <v>2402</v>
      </c>
      <c r="J456" s="92">
        <f>VLOOKUP(C456,[2]Hoja1!$A$172:$K$186,8,FALSE)</f>
        <v>2924</v>
      </c>
      <c r="K456" s="92">
        <f>VLOOKUP(C456,[2]Hoja1!$A$172:$K$186,9,FALSE)</f>
        <v>2904</v>
      </c>
      <c r="L456" s="59">
        <v>2977</v>
      </c>
      <c r="M456" s="59">
        <v>2589</v>
      </c>
      <c r="N456" s="92">
        <v>2807</v>
      </c>
      <c r="O456" s="59">
        <v>2046</v>
      </c>
      <c r="P456" s="107">
        <f t="shared" si="38"/>
        <v>31192</v>
      </c>
      <c r="Q456" s="92">
        <v>809158</v>
      </c>
      <c r="R456" s="108">
        <f t="shared" si="39"/>
        <v>38.548713601051958</v>
      </c>
      <c r="S456" s="134"/>
    </row>
    <row r="457" spans="1:19" s="8" customFormat="1" ht="27.75" customHeight="1" thickBot="1" x14ac:dyDescent="0.3">
      <c r="A457" s="33" t="s">
        <v>607</v>
      </c>
      <c r="B457" s="33" t="s">
        <v>608</v>
      </c>
      <c r="C457" s="106" t="s">
        <v>608</v>
      </c>
      <c r="D457" s="59">
        <v>540</v>
      </c>
      <c r="E457" s="92">
        <v>1003</v>
      </c>
      <c r="F457" s="92">
        <v>609</v>
      </c>
      <c r="G457" s="92">
        <v>685</v>
      </c>
      <c r="H457" s="92">
        <v>503</v>
      </c>
      <c r="I457" s="92">
        <v>648</v>
      </c>
      <c r="J457" s="92">
        <f>VLOOKUP(C457,[2]Hoja1!$A$172:$K$186,8,FALSE)</f>
        <v>778</v>
      </c>
      <c r="K457" s="92">
        <f>VLOOKUP(C457,[2]Hoja1!$A$172:$K$186,9,FALSE)</f>
        <v>644</v>
      </c>
      <c r="L457" s="59">
        <v>593</v>
      </c>
      <c r="M457" s="59">
        <v>551</v>
      </c>
      <c r="N457" s="92">
        <v>557</v>
      </c>
      <c r="O457" s="59">
        <v>432</v>
      </c>
      <c r="P457" s="107">
        <f t="shared" si="38"/>
        <v>7543</v>
      </c>
      <c r="Q457" s="92">
        <v>260295</v>
      </c>
      <c r="R457" s="108">
        <f t="shared" si="39"/>
        <v>28.978658829405099</v>
      </c>
      <c r="S457" s="134"/>
    </row>
    <row r="458" spans="1:19" s="8" customFormat="1" ht="15" customHeight="1" thickBot="1" x14ac:dyDescent="0.3">
      <c r="A458" s="33" t="s">
        <v>611</v>
      </c>
      <c r="B458" s="33" t="s">
        <v>612</v>
      </c>
      <c r="C458" s="106" t="s">
        <v>612</v>
      </c>
      <c r="D458" s="59">
        <v>12497</v>
      </c>
      <c r="E458" s="92">
        <v>11713</v>
      </c>
      <c r="F458" s="92">
        <v>12547</v>
      </c>
      <c r="G458" s="92">
        <v>11641</v>
      </c>
      <c r="H458" s="92">
        <v>10099</v>
      </c>
      <c r="I458" s="92">
        <v>11419</v>
      </c>
      <c r="J458" s="92">
        <f>VLOOKUP(C458,[2]Hoja1!$A$172:$K$186,8,FALSE)</f>
        <v>11739</v>
      </c>
      <c r="K458" s="92">
        <f>VLOOKUP(C458,[2]Hoja1!$A$172:$K$186,9,FALSE)</f>
        <v>12456</v>
      </c>
      <c r="L458" s="59">
        <v>12867</v>
      </c>
      <c r="M458" s="59">
        <v>11789</v>
      </c>
      <c r="N458" s="92">
        <v>13284</v>
      </c>
      <c r="O458" s="59">
        <v>10967</v>
      </c>
      <c r="P458" s="107">
        <f t="shared" si="38"/>
        <v>143018</v>
      </c>
      <c r="Q458" s="92">
        <v>5397549</v>
      </c>
      <c r="R458" s="108">
        <f t="shared" si="39"/>
        <v>26.496841436733597</v>
      </c>
      <c r="S458" s="134"/>
    </row>
    <row r="459" spans="1:19" s="8" customFormat="1" ht="29.25" customHeight="1" thickBot="1" x14ac:dyDescent="0.3">
      <c r="A459" s="33" t="s">
        <v>613</v>
      </c>
      <c r="B459" s="33" t="s">
        <v>614</v>
      </c>
      <c r="C459" s="106" t="s">
        <v>614</v>
      </c>
      <c r="D459" s="59">
        <v>4229</v>
      </c>
      <c r="E459" s="92">
        <v>3848</v>
      </c>
      <c r="F459" s="92">
        <v>4120</v>
      </c>
      <c r="G459" s="92">
        <v>4276</v>
      </c>
      <c r="H459" s="92">
        <v>4276</v>
      </c>
      <c r="I459" s="92">
        <v>4663</v>
      </c>
      <c r="J459" s="92">
        <f>VLOOKUP(C459,[2]Hoja1!$A$172:$K$186,8,FALSE)</f>
        <v>4505</v>
      </c>
      <c r="K459" s="92">
        <f>VLOOKUP(C459,[2]Hoja1!$A$172:$K$186,9,FALSE)</f>
        <v>4214</v>
      </c>
      <c r="L459" s="59">
        <v>4406</v>
      </c>
      <c r="M459" s="59">
        <v>3899</v>
      </c>
      <c r="N459" s="92">
        <v>4140</v>
      </c>
      <c r="O459" s="59">
        <v>3086</v>
      </c>
      <c r="P459" s="107">
        <f t="shared" si="38"/>
        <v>49662</v>
      </c>
      <c r="Q459" s="92">
        <v>2017269</v>
      </c>
      <c r="R459" s="108">
        <f t="shared" si="39"/>
        <v>24.618432147621363</v>
      </c>
      <c r="S459" s="134"/>
    </row>
    <row r="460" spans="1:19" s="8" customFormat="1" ht="36" customHeight="1" thickBot="1" x14ac:dyDescent="0.3">
      <c r="A460" s="33" t="s">
        <v>603</v>
      </c>
      <c r="B460" s="33" t="s">
        <v>604</v>
      </c>
      <c r="C460" s="106" t="s">
        <v>604</v>
      </c>
      <c r="D460" s="59">
        <v>67</v>
      </c>
      <c r="E460" s="92">
        <v>94</v>
      </c>
      <c r="F460" s="92">
        <v>92</v>
      </c>
      <c r="G460" s="92">
        <v>100</v>
      </c>
      <c r="H460" s="92">
        <v>100</v>
      </c>
      <c r="I460" s="92">
        <v>99</v>
      </c>
      <c r="J460" s="92">
        <f>VLOOKUP(C460,[2]Hoja1!$A$172:$K$186,8,FALSE)</f>
        <v>98</v>
      </c>
      <c r="K460" s="92">
        <f>VLOOKUP(C460,[2]Hoja1!$A$172:$K$186,9,FALSE)</f>
        <v>133</v>
      </c>
      <c r="L460" s="59">
        <v>124</v>
      </c>
      <c r="M460" s="59">
        <v>117</v>
      </c>
      <c r="N460" s="92">
        <v>92</v>
      </c>
      <c r="O460" s="59">
        <v>122</v>
      </c>
      <c r="P460" s="107">
        <f t="shared" si="38"/>
        <v>1238</v>
      </c>
      <c r="Q460" s="92">
        <v>53281</v>
      </c>
      <c r="R460" s="108">
        <f t="shared" si="39"/>
        <v>23.235299637769561</v>
      </c>
      <c r="S460" s="134"/>
    </row>
    <row r="461" spans="1:19" s="8" customFormat="1" ht="15.75" thickBot="1" x14ac:dyDescent="0.3">
      <c r="A461" s="33" t="s">
        <v>609</v>
      </c>
      <c r="B461" s="33" t="s">
        <v>610</v>
      </c>
      <c r="C461" s="109" t="s">
        <v>610</v>
      </c>
      <c r="D461" s="110">
        <v>4974</v>
      </c>
      <c r="E461" s="92">
        <v>6291</v>
      </c>
      <c r="F461" s="92">
        <v>4988</v>
      </c>
      <c r="G461" s="92">
        <v>5087</v>
      </c>
      <c r="H461" s="92">
        <v>5035</v>
      </c>
      <c r="I461" s="92">
        <v>5752</v>
      </c>
      <c r="J461" s="92">
        <f>VLOOKUP(C461,[2]Hoja1!$A$172:$K$186,8,FALSE)</f>
        <v>5535</v>
      </c>
      <c r="K461" s="92">
        <f>VLOOKUP(C461,[2]Hoja1!$A$172:$K$186,9,FALSE)</f>
        <v>5429</v>
      </c>
      <c r="L461" s="110">
        <v>5393</v>
      </c>
      <c r="M461" s="59">
        <v>4743</v>
      </c>
      <c r="N461" s="92">
        <v>5335</v>
      </c>
      <c r="O461" s="59">
        <v>4187</v>
      </c>
      <c r="P461" s="111">
        <f t="shared" si="38"/>
        <v>62749</v>
      </c>
      <c r="Q461" s="92">
        <v>2757039</v>
      </c>
      <c r="R461" s="112">
        <f t="shared" si="39"/>
        <v>22.759561979355389</v>
      </c>
      <c r="S461" s="134"/>
    </row>
    <row r="462" spans="1:19" ht="15.75" thickBot="1" x14ac:dyDescent="0.3">
      <c r="A462" s="33" t="s">
        <v>615</v>
      </c>
      <c r="B462" s="33" t="s">
        <v>616</v>
      </c>
      <c r="C462" s="106" t="s">
        <v>616</v>
      </c>
      <c r="D462" s="59">
        <v>6072</v>
      </c>
      <c r="E462" s="92">
        <v>7659</v>
      </c>
      <c r="F462" s="92">
        <v>7472</v>
      </c>
      <c r="G462" s="92">
        <v>7089</v>
      </c>
      <c r="H462" s="92">
        <v>6725</v>
      </c>
      <c r="I462" s="92">
        <v>7436</v>
      </c>
      <c r="J462" s="92">
        <f>VLOOKUP(C462,[2]Hoja1!$A$172:$K$186,8,FALSE)</f>
        <v>7910</v>
      </c>
      <c r="K462" s="92">
        <f>VLOOKUP(C462,[2]Hoja1!$A$172:$K$186,9,FALSE)</f>
        <v>8436</v>
      </c>
      <c r="L462" s="59">
        <v>8969</v>
      </c>
      <c r="M462" s="59">
        <v>8009</v>
      </c>
      <c r="N462" s="92">
        <v>8660</v>
      </c>
      <c r="O462" s="59">
        <v>6166</v>
      </c>
      <c r="P462" s="107">
        <f t="shared" si="38"/>
        <v>90603</v>
      </c>
      <c r="Q462" s="92">
        <v>4193187</v>
      </c>
      <c r="R462" s="108">
        <f t="shared" si="39"/>
        <v>21.607192810623516</v>
      </c>
      <c r="S462" s="134"/>
    </row>
    <row r="463" spans="1:19" ht="15.75" thickBot="1" x14ac:dyDescent="0.3">
      <c r="A463" s="33" t="s">
        <v>618</v>
      </c>
      <c r="B463" s="33" t="s">
        <v>619</v>
      </c>
      <c r="C463" s="106" t="s">
        <v>619</v>
      </c>
      <c r="D463" s="59">
        <v>364</v>
      </c>
      <c r="E463" s="92">
        <v>377</v>
      </c>
      <c r="F463" s="92">
        <v>405</v>
      </c>
      <c r="G463" s="92">
        <v>396</v>
      </c>
      <c r="H463" s="92">
        <v>321</v>
      </c>
      <c r="I463" s="92">
        <v>369</v>
      </c>
      <c r="J463" s="92">
        <f>VLOOKUP(C463,[2]Hoja1!$A$172:$K$186,8,FALSE)</f>
        <v>427</v>
      </c>
      <c r="K463" s="92">
        <f>VLOOKUP(C463,[2]Hoja1!$A$172:$K$186,9,FALSE)</f>
        <v>435</v>
      </c>
      <c r="L463" s="59">
        <v>416</v>
      </c>
      <c r="M463" s="59">
        <v>316</v>
      </c>
      <c r="N463" s="92">
        <v>338</v>
      </c>
      <c r="O463" s="59">
        <v>275</v>
      </c>
      <c r="P463" s="107">
        <f t="shared" si="38"/>
        <v>4439</v>
      </c>
      <c r="Q463" s="92">
        <v>244818</v>
      </c>
      <c r="R463" s="108">
        <f t="shared" si="39"/>
        <v>18.131836711352921</v>
      </c>
      <c r="S463" s="134"/>
    </row>
    <row r="464" spans="1:19" s="8" customFormat="1" ht="15.75" thickBot="1" x14ac:dyDescent="0.3">
      <c r="A464" s="33" t="s">
        <v>621</v>
      </c>
      <c r="B464" s="33" t="s">
        <v>622</v>
      </c>
      <c r="C464" s="106" t="s">
        <v>622</v>
      </c>
      <c r="D464" s="59">
        <v>5177</v>
      </c>
      <c r="E464" s="92">
        <v>5393</v>
      </c>
      <c r="F464" s="92">
        <v>6567</v>
      </c>
      <c r="G464" s="92">
        <v>5871</v>
      </c>
      <c r="H464" s="92">
        <v>5202</v>
      </c>
      <c r="I464" s="92">
        <v>6116</v>
      </c>
      <c r="J464" s="92">
        <f>VLOOKUP(C464,[2]Hoja1!$A$172:$K$186,8,FALSE)</f>
        <v>7202</v>
      </c>
      <c r="K464" s="92">
        <f>VLOOKUP(C464,[2]Hoja1!$A$172:$K$186,9,FALSE)</f>
        <v>7477</v>
      </c>
      <c r="L464" s="59">
        <v>8041</v>
      </c>
      <c r="M464" s="59">
        <v>7368</v>
      </c>
      <c r="N464" s="92">
        <v>8413</v>
      </c>
      <c r="O464" s="59">
        <v>6558</v>
      </c>
      <c r="P464" s="107">
        <f t="shared" si="38"/>
        <v>79385</v>
      </c>
      <c r="Q464" s="92">
        <v>4714923</v>
      </c>
      <c r="R464" s="108">
        <f t="shared" si="39"/>
        <v>16.836966372515519</v>
      </c>
      <c r="S464" s="134"/>
    </row>
    <row r="465" spans="1:20" s="8" customFormat="1" ht="15.75" thickBot="1" x14ac:dyDescent="0.3">
      <c r="A465" s="33" t="s">
        <v>617</v>
      </c>
      <c r="B465" s="33" t="s">
        <v>684</v>
      </c>
      <c r="C465" s="106" t="s">
        <v>684</v>
      </c>
      <c r="D465" s="59">
        <v>6126</v>
      </c>
      <c r="E465" s="92">
        <v>5403</v>
      </c>
      <c r="F465" s="92">
        <v>6046</v>
      </c>
      <c r="G465" s="92">
        <v>6501</v>
      </c>
      <c r="H465" s="92">
        <v>6183</v>
      </c>
      <c r="I465" s="92">
        <v>7401</v>
      </c>
      <c r="J465" s="92">
        <f>VLOOKUP(C465,[2]Hoja1!$A$172:$K$186,8,FALSE)</f>
        <v>7071</v>
      </c>
      <c r="K465" s="92">
        <f>VLOOKUP(C465,[2]Hoja1!$A$172:$K$186,9,FALSE)</f>
        <v>7120</v>
      </c>
      <c r="L465" s="59">
        <v>7679</v>
      </c>
      <c r="M465" s="59">
        <v>6790</v>
      </c>
      <c r="N465" s="92">
        <v>7246</v>
      </c>
      <c r="O465" s="59">
        <v>5658</v>
      </c>
      <c r="P465" s="107">
        <f t="shared" si="38"/>
        <v>79224</v>
      </c>
      <c r="Q465" s="92">
        <v>4741271</v>
      </c>
      <c r="R465" s="108">
        <f t="shared" si="39"/>
        <v>16.709443522633489</v>
      </c>
      <c r="S465" s="134"/>
    </row>
    <row r="466" spans="1:20" ht="15.75" thickBot="1" x14ac:dyDescent="0.3">
      <c r="A466" s="33" t="s">
        <v>681</v>
      </c>
      <c r="B466" s="33" t="s">
        <v>653</v>
      </c>
      <c r="C466" s="106" t="s">
        <v>653</v>
      </c>
      <c r="D466" s="59">
        <v>44</v>
      </c>
      <c r="E466" s="92">
        <v>49</v>
      </c>
      <c r="F466" s="92">
        <v>58</v>
      </c>
      <c r="G466" s="92">
        <v>63</v>
      </c>
      <c r="H466" s="92">
        <v>39</v>
      </c>
      <c r="I466" s="92">
        <v>60</v>
      </c>
      <c r="J466" s="92">
        <f>VLOOKUP(C466,[2]Hoja1!$A$172:$K$186,8,FALSE)</f>
        <v>62</v>
      </c>
      <c r="K466" s="92">
        <f>VLOOKUP(C466,[2]Hoja1!$A$172:$K$186,9,FALSE)</f>
        <v>88</v>
      </c>
      <c r="L466" s="59">
        <v>86</v>
      </c>
      <c r="M466" s="59">
        <v>91</v>
      </c>
      <c r="N466" s="92">
        <v>101</v>
      </c>
      <c r="O466" s="59">
        <v>95</v>
      </c>
      <c r="P466" s="107">
        <f t="shared" si="38"/>
        <v>836</v>
      </c>
      <c r="Q466" s="92">
        <v>68499</v>
      </c>
      <c r="R466" s="108">
        <f t="shared" si="39"/>
        <v>12.204557730769791</v>
      </c>
      <c r="S466" s="134"/>
    </row>
    <row r="467" spans="1:20" ht="15.75" thickBot="1" x14ac:dyDescent="0.3">
      <c r="A467" s="33" t="s">
        <v>620</v>
      </c>
      <c r="B467" s="33" t="s">
        <v>680</v>
      </c>
      <c r="C467" s="106" t="s">
        <v>680</v>
      </c>
      <c r="D467" s="59">
        <v>40</v>
      </c>
      <c r="E467" s="92">
        <v>31</v>
      </c>
      <c r="F467" s="92">
        <v>43</v>
      </c>
      <c r="G467" s="92">
        <v>40</v>
      </c>
      <c r="H467" s="92">
        <v>62</v>
      </c>
      <c r="I467" s="92">
        <v>67</v>
      </c>
      <c r="J467" s="92">
        <f>VLOOKUP(C467,[2]Hoja1!$A$172:$K$186,8,FALSE)</f>
        <v>40</v>
      </c>
      <c r="K467" s="92">
        <f>VLOOKUP(C467,[2]Hoja1!$A$172:$K$186,9,FALSE)</f>
        <v>52</v>
      </c>
      <c r="L467" s="59">
        <v>41</v>
      </c>
      <c r="M467" s="59">
        <v>46</v>
      </c>
      <c r="N467" s="92">
        <v>43</v>
      </c>
      <c r="O467" s="59">
        <v>42</v>
      </c>
      <c r="P467" s="113">
        <f t="shared" si="38"/>
        <v>547</v>
      </c>
      <c r="Q467" s="92">
        <v>51795</v>
      </c>
      <c r="R467" s="108">
        <f t="shared" si="39"/>
        <v>10.560864948354087</v>
      </c>
      <c r="S467" s="134"/>
    </row>
    <row r="468" spans="1:20" ht="36.75" customHeight="1" thickBot="1" x14ac:dyDescent="0.3">
      <c r="A468" s="1"/>
      <c r="C468" s="47" t="s">
        <v>15</v>
      </c>
      <c r="D468" s="94">
        <f t="shared" ref="D468:Q468" si="40">SUM(D454:D467)</f>
        <v>50907</v>
      </c>
      <c r="E468" s="94">
        <f t="shared" si="40"/>
        <v>52324</v>
      </c>
      <c r="F468" s="94">
        <f t="shared" si="40"/>
        <v>54540</v>
      </c>
      <c r="G468" s="94">
        <f t="shared" si="40"/>
        <v>53109</v>
      </c>
      <c r="H468" s="94">
        <f t="shared" si="40"/>
        <v>48899</v>
      </c>
      <c r="I468" s="94">
        <f t="shared" si="40"/>
        <v>56769</v>
      </c>
      <c r="J468" s="94">
        <f t="shared" si="40"/>
        <v>58498</v>
      </c>
      <c r="K468" s="94">
        <f t="shared" si="40"/>
        <v>58809</v>
      </c>
      <c r="L468" s="94">
        <f t="shared" si="40"/>
        <v>61133</v>
      </c>
      <c r="M468" s="94">
        <f t="shared" si="40"/>
        <v>54781</v>
      </c>
      <c r="N468" s="94">
        <f t="shared" si="40"/>
        <v>59394</v>
      </c>
      <c r="O468" s="94">
        <f t="shared" si="40"/>
        <v>46856</v>
      </c>
      <c r="P468" s="104">
        <f>SUM(P454:P467)</f>
        <v>656019</v>
      </c>
      <c r="Q468" s="105">
        <f t="shared" si="40"/>
        <v>27398472</v>
      </c>
      <c r="R468" s="95" t="s">
        <v>1030</v>
      </c>
    </row>
    <row r="469" spans="1:20" ht="25.5" customHeight="1" x14ac:dyDescent="0.25">
      <c r="A469" s="1"/>
      <c r="B469" s="34"/>
      <c r="C469" s="154" t="s">
        <v>734</v>
      </c>
      <c r="D469" s="154"/>
      <c r="E469" s="154"/>
      <c r="F469" s="154"/>
      <c r="G469" s="154"/>
      <c r="H469" s="154"/>
      <c r="I469" s="154"/>
      <c r="J469" s="154"/>
      <c r="K469" s="154"/>
      <c r="L469" s="154"/>
      <c r="M469" s="154"/>
      <c r="N469" s="154"/>
      <c r="O469" s="154"/>
      <c r="P469" s="154"/>
      <c r="Q469" s="154"/>
      <c r="R469" s="154"/>
    </row>
    <row r="470" spans="1:20" ht="38.25" customHeight="1" x14ac:dyDescent="0.25">
      <c r="A470" s="1"/>
      <c r="B470" s="34"/>
      <c r="C470" s="153" t="s">
        <v>735</v>
      </c>
      <c r="D470" s="153"/>
      <c r="E470" s="153"/>
      <c r="F470" s="153"/>
      <c r="G470" s="153"/>
      <c r="H470" s="153"/>
      <c r="I470" s="153"/>
      <c r="J470" s="153"/>
      <c r="K470" s="153"/>
      <c r="L470" s="153"/>
      <c r="M470" s="153"/>
      <c r="N470" s="153"/>
      <c r="O470" s="153"/>
      <c r="P470" s="153"/>
      <c r="Q470" s="153"/>
      <c r="R470" s="153"/>
    </row>
    <row r="471" spans="1:20" ht="20.25" customHeight="1" x14ac:dyDescent="0.25">
      <c r="A471" s="1"/>
      <c r="B471" s="34"/>
      <c r="C471" s="153" t="s">
        <v>733</v>
      </c>
      <c r="D471" s="153"/>
      <c r="E471" s="153"/>
      <c r="F471" s="153"/>
      <c r="G471" s="153"/>
      <c r="H471" s="153"/>
      <c r="I471" s="153"/>
      <c r="J471" s="153"/>
      <c r="K471" s="153"/>
      <c r="L471" s="153"/>
      <c r="M471" s="153"/>
      <c r="N471" s="153"/>
      <c r="O471" s="153"/>
      <c r="P471" s="153"/>
      <c r="Q471" s="153"/>
      <c r="R471" s="153"/>
    </row>
    <row r="472" spans="1:20" s="8" customFormat="1" ht="20.25" customHeight="1" x14ac:dyDescent="0.25">
      <c r="C472" s="151" t="s">
        <v>743</v>
      </c>
      <c r="D472" s="151"/>
      <c r="E472" s="151"/>
      <c r="F472" s="151"/>
      <c r="G472" s="151"/>
      <c r="H472" s="151"/>
      <c r="I472" s="151"/>
      <c r="J472" s="151"/>
      <c r="K472" s="151"/>
      <c r="L472" s="151"/>
      <c r="M472" s="151"/>
      <c r="N472" s="151"/>
      <c r="O472" s="151"/>
      <c r="P472" s="151"/>
      <c r="Q472" s="151"/>
      <c r="R472" s="151"/>
    </row>
    <row r="473" spans="1:20" s="8" customFormat="1" ht="20.25" customHeight="1" x14ac:dyDescent="0.25">
      <c r="C473" s="151" t="str">
        <f>C15</f>
        <v>FUENTE: BASE DE DATOS SNS AÑO 2.021 (ENERO-DICIEMBRE)</v>
      </c>
      <c r="D473" s="151"/>
      <c r="E473" s="151"/>
      <c r="F473" s="151"/>
      <c r="G473" s="151"/>
      <c r="H473" s="151"/>
      <c r="I473" s="151"/>
      <c r="J473" s="151"/>
      <c r="K473" s="151"/>
      <c r="L473" s="151"/>
      <c r="M473" s="151"/>
      <c r="N473" s="151"/>
      <c r="O473" s="151"/>
      <c r="P473" s="151"/>
      <c r="Q473" s="151"/>
      <c r="R473" s="151"/>
    </row>
    <row r="474" spans="1:20" s="8" customFormat="1" ht="20.25" customHeight="1" x14ac:dyDescent="0.25">
      <c r="C474" s="76"/>
      <c r="D474" s="76"/>
      <c r="E474" s="76"/>
      <c r="F474" s="76"/>
      <c r="G474" s="76"/>
      <c r="H474" s="76"/>
      <c r="I474" s="76"/>
      <c r="J474" s="76"/>
      <c r="K474" s="76"/>
      <c r="L474" s="76"/>
      <c r="M474" s="76"/>
      <c r="N474" s="76"/>
      <c r="O474" s="76"/>
      <c r="P474" s="76"/>
      <c r="Q474" s="76"/>
      <c r="R474" s="3"/>
    </row>
    <row r="475" spans="1:20" ht="14.25" customHeight="1" x14ac:dyDescent="0.25">
      <c r="A475" s="1"/>
      <c r="C475" s="4" t="s">
        <v>82</v>
      </c>
      <c r="D475" s="7"/>
      <c r="E475" s="7"/>
      <c r="F475" s="1"/>
      <c r="G475" s="10"/>
      <c r="H475" s="10"/>
      <c r="I475" s="10"/>
      <c r="J475" s="10"/>
      <c r="K475" s="10"/>
      <c r="L475" s="10"/>
      <c r="M475" s="10"/>
      <c r="N475" s="10"/>
      <c r="O475" s="10"/>
      <c r="P475" s="10"/>
      <c r="Q475" s="16"/>
    </row>
    <row r="476" spans="1:20" ht="14.25" customHeight="1" thickBot="1" x14ac:dyDescent="0.3">
      <c r="A476" s="1"/>
      <c r="C476" s="4"/>
      <c r="D476" s="7"/>
      <c r="E476" s="7"/>
      <c r="F476" s="1"/>
      <c r="G476" s="10"/>
      <c r="H476" s="10"/>
      <c r="I476" s="10"/>
      <c r="J476" s="10"/>
      <c r="K476" s="10"/>
      <c r="L476" s="10"/>
      <c r="M476" s="10"/>
      <c r="N476" s="10"/>
      <c r="O476" s="10"/>
      <c r="P476" s="10"/>
      <c r="Q476" s="16"/>
    </row>
    <row r="477" spans="1:20" ht="14.25" customHeight="1" thickBot="1" x14ac:dyDescent="0.3">
      <c r="A477" s="1"/>
      <c r="C477" s="165" t="str">
        <f>+C452</f>
        <v>CÁLCULO DE TASA CON EL NÚMERO DE AFILIADOS DEL ÚLTIMO MES</v>
      </c>
      <c r="D477" s="166"/>
      <c r="E477" s="166"/>
      <c r="F477" s="166"/>
      <c r="G477" s="166"/>
      <c r="H477" s="166"/>
      <c r="I477" s="166"/>
      <c r="J477" s="166"/>
      <c r="K477" s="166"/>
      <c r="L477" s="166"/>
      <c r="M477" s="166"/>
      <c r="N477" s="166"/>
      <c r="O477" s="166"/>
      <c r="P477" s="166"/>
      <c r="Q477" s="166"/>
      <c r="R477" s="167"/>
    </row>
    <row r="478" spans="1:20" ht="47.25" customHeight="1" thickBot="1" x14ac:dyDescent="0.3">
      <c r="A478" s="41" t="s">
        <v>223</v>
      </c>
      <c r="B478" s="41" t="s">
        <v>623</v>
      </c>
      <c r="C478" s="56" t="s">
        <v>81</v>
      </c>
      <c r="D478" s="65" t="s">
        <v>2</v>
      </c>
      <c r="E478" s="65" t="s">
        <v>3</v>
      </c>
      <c r="F478" s="65" t="s">
        <v>4</v>
      </c>
      <c r="G478" s="65" t="s">
        <v>5</v>
      </c>
      <c r="H478" s="65" t="s">
        <v>6</v>
      </c>
      <c r="I478" s="65" t="s">
        <v>7</v>
      </c>
      <c r="J478" s="65" t="s">
        <v>8</v>
      </c>
      <c r="K478" s="65" t="s">
        <v>9</v>
      </c>
      <c r="L478" s="65" t="s">
        <v>10</v>
      </c>
      <c r="M478" s="65" t="s">
        <v>11</v>
      </c>
      <c r="N478" s="48" t="s">
        <v>12</v>
      </c>
      <c r="O478" s="48" t="s">
        <v>13</v>
      </c>
      <c r="P478" s="49" t="str">
        <f>P9</f>
        <v>TOTAL AÑO 2.021</v>
      </c>
      <c r="Q478" s="53" t="str">
        <f>Q453</f>
        <v>AFILIADOS DICIEMBRE 2.021</v>
      </c>
      <c r="R478" s="53" t="s">
        <v>158</v>
      </c>
    </row>
    <row r="479" spans="1:20" ht="36" customHeight="1" thickBot="1" x14ac:dyDescent="0.3">
      <c r="A479" s="38" t="s">
        <v>625</v>
      </c>
      <c r="B479" s="38" t="s">
        <v>626</v>
      </c>
      <c r="C479" s="114" t="s">
        <v>626</v>
      </c>
      <c r="D479" s="59">
        <v>2180</v>
      </c>
      <c r="E479" s="59">
        <v>2659</v>
      </c>
      <c r="F479" s="59">
        <v>3200</v>
      </c>
      <c r="G479" s="59">
        <v>2841</v>
      </c>
      <c r="H479" s="59">
        <v>2639</v>
      </c>
      <c r="I479" s="59">
        <v>3013</v>
      </c>
      <c r="J479" s="59">
        <f>VLOOKUP(C479,[2]Hoja1!$A$197:$K$222,8,FALSE)</f>
        <v>3597</v>
      </c>
      <c r="K479" s="59">
        <f>VLOOKUP(C479,[2]Hoja1!$A$197:$K$222,9,FALSE)</f>
        <v>3893</v>
      </c>
      <c r="L479" s="59">
        <v>3819</v>
      </c>
      <c r="M479" s="59">
        <v>3398</v>
      </c>
      <c r="N479" s="91">
        <v>3283</v>
      </c>
      <c r="O479" s="91">
        <v>2410</v>
      </c>
      <c r="P479" s="59">
        <f t="shared" ref="P479:P503" si="41">SUM(D479:O479)</f>
        <v>36932</v>
      </c>
      <c r="Q479" s="59">
        <v>1168056</v>
      </c>
      <c r="R479" s="115">
        <f t="shared" ref="R479:R500" si="42">+P479/Q479*1000</f>
        <v>31.618347065551653</v>
      </c>
      <c r="S479" s="133"/>
      <c r="T479" s="130"/>
    </row>
    <row r="480" spans="1:20" ht="21" customHeight="1" thickBot="1" x14ac:dyDescent="0.3">
      <c r="A480" s="38" t="s">
        <v>624</v>
      </c>
      <c r="B480" s="38" t="s">
        <v>600</v>
      </c>
      <c r="C480" s="114" t="s">
        <v>600</v>
      </c>
      <c r="D480" s="59">
        <v>1153</v>
      </c>
      <c r="E480" s="59">
        <v>1466</v>
      </c>
      <c r="F480" s="59">
        <v>1589</v>
      </c>
      <c r="G480" s="59">
        <v>1420</v>
      </c>
      <c r="H480" s="59">
        <v>1106</v>
      </c>
      <c r="I480" s="59">
        <v>1150</v>
      </c>
      <c r="J480" s="59">
        <f>VLOOKUP(C480,[2]Hoja1!$A$197:$K$222,8,FALSE)</f>
        <v>1496</v>
      </c>
      <c r="K480" s="59">
        <f>VLOOKUP(C480,[2]Hoja1!$A$197:$K$222,9,FALSE)</f>
        <v>1660</v>
      </c>
      <c r="L480" s="59">
        <v>1754</v>
      </c>
      <c r="M480" s="59">
        <v>1600</v>
      </c>
      <c r="N480" s="91">
        <v>1759</v>
      </c>
      <c r="O480" s="91">
        <v>1530</v>
      </c>
      <c r="P480" s="59">
        <f t="shared" si="41"/>
        <v>17683</v>
      </c>
      <c r="Q480" s="59">
        <v>640159</v>
      </c>
      <c r="R480" s="115">
        <f t="shared" si="42"/>
        <v>27.622824954425386</v>
      </c>
      <c r="S480" s="133"/>
      <c r="T480" s="130"/>
    </row>
    <row r="481" spans="1:20" ht="28.5" customHeight="1" thickBot="1" x14ac:dyDescent="0.3">
      <c r="A481" s="38" t="s">
        <v>641</v>
      </c>
      <c r="B481" s="38" t="s">
        <v>642</v>
      </c>
      <c r="C481" s="114" t="s">
        <v>642</v>
      </c>
      <c r="D481" s="59">
        <v>2221</v>
      </c>
      <c r="E481" s="59">
        <v>2630</v>
      </c>
      <c r="F481" s="59">
        <v>2910</v>
      </c>
      <c r="G481" s="59">
        <v>2935</v>
      </c>
      <c r="H481" s="59">
        <v>1845</v>
      </c>
      <c r="I481" s="59">
        <v>2252</v>
      </c>
      <c r="J481" s="59">
        <f>VLOOKUP(C481,[2]Hoja1!$A$197:$K$222,8,FALSE)</f>
        <v>2967</v>
      </c>
      <c r="K481" s="59">
        <f>VLOOKUP(C481,[2]Hoja1!$A$197:$K$222,9,FALSE)</f>
        <v>3219</v>
      </c>
      <c r="L481" s="59">
        <v>3920</v>
      </c>
      <c r="M481" s="59">
        <v>3923</v>
      </c>
      <c r="N481" s="91">
        <v>4439</v>
      </c>
      <c r="O481" s="91">
        <v>3075</v>
      </c>
      <c r="P481" s="59">
        <f t="shared" si="41"/>
        <v>36336</v>
      </c>
      <c r="Q481" s="59">
        <v>1951151</v>
      </c>
      <c r="R481" s="115">
        <f t="shared" si="42"/>
        <v>18.622853894957387</v>
      </c>
      <c r="S481" s="133"/>
      <c r="T481" s="130"/>
    </row>
    <row r="482" spans="1:20" ht="28.5" customHeight="1" thickBot="1" x14ac:dyDescent="0.3">
      <c r="A482" s="38" t="s">
        <v>633</v>
      </c>
      <c r="B482" s="38" t="s">
        <v>634</v>
      </c>
      <c r="C482" s="114" t="s">
        <v>634</v>
      </c>
      <c r="D482" s="59">
        <v>1932</v>
      </c>
      <c r="E482" s="59">
        <v>2121</v>
      </c>
      <c r="F482" s="59">
        <v>2451</v>
      </c>
      <c r="G482" s="59">
        <v>1951</v>
      </c>
      <c r="H482" s="59">
        <v>1837</v>
      </c>
      <c r="I482" s="59">
        <v>1955</v>
      </c>
      <c r="J482" s="59">
        <f>VLOOKUP(C482,[2]Hoja1!$A$197:$K$222,8,FALSE)</f>
        <v>2290</v>
      </c>
      <c r="K482" s="59">
        <f>VLOOKUP(C482,[2]Hoja1!$A$197:$K$222,9,FALSE)</f>
        <v>2509</v>
      </c>
      <c r="L482" s="59">
        <v>2996</v>
      </c>
      <c r="M482" s="59">
        <v>2618</v>
      </c>
      <c r="N482" s="91">
        <v>2909</v>
      </c>
      <c r="O482" s="91">
        <v>2317</v>
      </c>
      <c r="P482" s="59">
        <f t="shared" si="41"/>
        <v>27886</v>
      </c>
      <c r="Q482" s="59">
        <v>1647719</v>
      </c>
      <c r="R482" s="115">
        <f t="shared" si="42"/>
        <v>16.924002211542138</v>
      </c>
      <c r="S482" s="133"/>
      <c r="T482" s="130"/>
    </row>
    <row r="483" spans="1:20" ht="25.5" customHeight="1" thickBot="1" x14ac:dyDescent="0.3">
      <c r="A483" s="38" t="s">
        <v>627</v>
      </c>
      <c r="B483" s="38" t="s">
        <v>628</v>
      </c>
      <c r="C483" s="114" t="s">
        <v>628</v>
      </c>
      <c r="D483" s="59">
        <v>456</v>
      </c>
      <c r="E483" s="59">
        <v>523</v>
      </c>
      <c r="F483" s="59">
        <v>544</v>
      </c>
      <c r="G483" s="59">
        <v>454</v>
      </c>
      <c r="H483" s="59">
        <v>437</v>
      </c>
      <c r="I483" s="59">
        <v>480</v>
      </c>
      <c r="J483" s="59">
        <f>VLOOKUP(C483,[2]Hoja1!$A$197:$K$222,8,FALSE)</f>
        <v>491</v>
      </c>
      <c r="K483" s="59">
        <f>VLOOKUP(C483,[2]Hoja1!$A$197:$K$222,9,FALSE)</f>
        <v>643</v>
      </c>
      <c r="L483" s="59">
        <v>926</v>
      </c>
      <c r="M483" s="59">
        <v>933</v>
      </c>
      <c r="N483" s="91">
        <v>1047</v>
      </c>
      <c r="O483" s="91">
        <v>745</v>
      </c>
      <c r="P483" s="59">
        <f t="shared" si="41"/>
        <v>7679</v>
      </c>
      <c r="Q483" s="59">
        <v>493822</v>
      </c>
      <c r="R483" s="115">
        <f t="shared" si="42"/>
        <v>15.550137498936865</v>
      </c>
      <c r="S483" s="133"/>
      <c r="T483" s="130"/>
    </row>
    <row r="484" spans="1:20" ht="36" customHeight="1" thickBot="1" x14ac:dyDescent="0.3">
      <c r="A484" s="38" t="s">
        <v>631</v>
      </c>
      <c r="B484" s="38" t="s">
        <v>632</v>
      </c>
      <c r="C484" s="114" t="s">
        <v>632</v>
      </c>
      <c r="D484" s="59">
        <v>349</v>
      </c>
      <c r="E484" s="59">
        <v>369</v>
      </c>
      <c r="F484" s="59">
        <v>455</v>
      </c>
      <c r="G484" s="59">
        <v>399</v>
      </c>
      <c r="H484" s="59">
        <v>398</v>
      </c>
      <c r="I484" s="59">
        <v>381</v>
      </c>
      <c r="J484" s="59">
        <f>VLOOKUP(C484,[2]Hoja1!$A$197:$K$222,8,FALSE)</f>
        <v>373</v>
      </c>
      <c r="K484" s="59">
        <f>VLOOKUP(C484,[2]Hoja1!$A$197:$K$222,9,FALSE)</f>
        <v>361</v>
      </c>
      <c r="L484" s="59">
        <v>350</v>
      </c>
      <c r="M484" s="59">
        <v>316</v>
      </c>
      <c r="N484" s="91">
        <v>392</v>
      </c>
      <c r="O484" s="91">
        <v>260</v>
      </c>
      <c r="P484" s="59">
        <f t="shared" si="41"/>
        <v>4403</v>
      </c>
      <c r="Q484" s="59">
        <v>335422</v>
      </c>
      <c r="R484" s="115">
        <f t="shared" si="42"/>
        <v>13.126747798295879</v>
      </c>
      <c r="S484" s="133"/>
      <c r="T484" s="130"/>
    </row>
    <row r="485" spans="1:20" ht="21" customHeight="1" thickBot="1" x14ac:dyDescent="0.3">
      <c r="A485" s="38" t="s">
        <v>636</v>
      </c>
      <c r="B485" s="38" t="s">
        <v>637</v>
      </c>
      <c r="C485" s="114" t="s">
        <v>637</v>
      </c>
      <c r="D485" s="59">
        <v>1056</v>
      </c>
      <c r="E485" s="59">
        <v>1358</v>
      </c>
      <c r="F485" s="59">
        <v>1595</v>
      </c>
      <c r="G485" s="59">
        <v>1596</v>
      </c>
      <c r="H485" s="59">
        <v>1542</v>
      </c>
      <c r="I485" s="59">
        <v>1439</v>
      </c>
      <c r="J485" s="59">
        <f>VLOOKUP(C485,[2]Hoja1!$A$197:$K$222,8,FALSE)</f>
        <v>1479</v>
      </c>
      <c r="K485" s="59">
        <f>VLOOKUP(C485,[2]Hoja1!$A$197:$K$222,9,FALSE)</f>
        <v>1710</v>
      </c>
      <c r="L485" s="59">
        <v>1754</v>
      </c>
      <c r="M485" s="59">
        <v>1336</v>
      </c>
      <c r="N485" s="91">
        <v>1393</v>
      </c>
      <c r="O485" s="91">
        <v>1013</v>
      </c>
      <c r="P485" s="59">
        <f t="shared" si="41"/>
        <v>17271</v>
      </c>
      <c r="Q485" s="59">
        <v>1398624</v>
      </c>
      <c r="R485" s="115">
        <f t="shared" si="42"/>
        <v>12.348565447182374</v>
      </c>
      <c r="S485" s="133"/>
      <c r="T485" s="130"/>
    </row>
    <row r="486" spans="1:20" ht="28.5" customHeight="1" thickBot="1" x14ac:dyDescent="0.3">
      <c r="A486" s="38" t="s">
        <v>629</v>
      </c>
      <c r="B486" s="38" t="s">
        <v>630</v>
      </c>
      <c r="C486" s="114" t="s">
        <v>630</v>
      </c>
      <c r="D486" s="59">
        <v>373</v>
      </c>
      <c r="E486" s="59">
        <v>378</v>
      </c>
      <c r="F486" s="59">
        <v>510</v>
      </c>
      <c r="G486" s="59">
        <v>498</v>
      </c>
      <c r="H486" s="59">
        <v>390</v>
      </c>
      <c r="I486" s="59">
        <v>431</v>
      </c>
      <c r="J486" s="59">
        <f>VLOOKUP(C486,[2]Hoja1!$A$197:$K$222,8,FALSE)</f>
        <v>533</v>
      </c>
      <c r="K486" s="59">
        <f>VLOOKUP(C486,[2]Hoja1!$A$197:$K$222,9,FALSE)</f>
        <v>555</v>
      </c>
      <c r="L486" s="59">
        <v>661</v>
      </c>
      <c r="M486" s="59">
        <v>651</v>
      </c>
      <c r="N486" s="91">
        <v>720</v>
      </c>
      <c r="O486" s="91">
        <v>569</v>
      </c>
      <c r="P486" s="59">
        <f t="shared" si="41"/>
        <v>6269</v>
      </c>
      <c r="Q486" s="59">
        <v>547797</v>
      </c>
      <c r="R486" s="115">
        <f t="shared" si="42"/>
        <v>11.44402032139643</v>
      </c>
      <c r="S486" s="133"/>
      <c r="T486" s="130"/>
    </row>
    <row r="487" spans="1:20" ht="15.75" customHeight="1" thickBot="1" x14ac:dyDescent="0.3">
      <c r="A487" s="38" t="s">
        <v>650</v>
      </c>
      <c r="B487" s="38" t="s">
        <v>651</v>
      </c>
      <c r="C487" s="116" t="s">
        <v>651</v>
      </c>
      <c r="D487" s="110">
        <v>106</v>
      </c>
      <c r="E487" s="59">
        <v>84</v>
      </c>
      <c r="F487" s="59">
        <v>98</v>
      </c>
      <c r="G487" s="59">
        <v>98</v>
      </c>
      <c r="H487" s="59">
        <v>85</v>
      </c>
      <c r="I487" s="59">
        <v>95</v>
      </c>
      <c r="J487" s="59">
        <f>VLOOKUP(C487,[2]Hoja1!$A$197:$K$222,8,FALSE)</f>
        <v>116</v>
      </c>
      <c r="K487" s="59">
        <f>VLOOKUP(C487,[2]Hoja1!$A$197:$K$222,9,FALSE)</f>
        <v>145</v>
      </c>
      <c r="L487" s="59">
        <v>176</v>
      </c>
      <c r="M487" s="59">
        <v>379</v>
      </c>
      <c r="N487" s="91">
        <v>166</v>
      </c>
      <c r="O487" s="91">
        <v>113</v>
      </c>
      <c r="P487" s="110">
        <f t="shared" si="41"/>
        <v>1661</v>
      </c>
      <c r="Q487" s="59">
        <v>174322</v>
      </c>
      <c r="R487" s="117">
        <f t="shared" si="42"/>
        <v>9.5283440988515515</v>
      </c>
      <c r="S487" s="133"/>
      <c r="T487" s="130"/>
    </row>
    <row r="488" spans="1:20" ht="15.75" thickBot="1" x14ac:dyDescent="0.3">
      <c r="A488" s="38" t="s">
        <v>639</v>
      </c>
      <c r="B488" s="38" t="s">
        <v>640</v>
      </c>
      <c r="C488" s="114" t="s">
        <v>640</v>
      </c>
      <c r="D488" s="59">
        <v>1079</v>
      </c>
      <c r="E488" s="59">
        <v>1324</v>
      </c>
      <c r="F488" s="59">
        <v>1494</v>
      </c>
      <c r="G488" s="59">
        <v>1425</v>
      </c>
      <c r="H488" s="59">
        <v>1121</v>
      </c>
      <c r="I488" s="59">
        <v>1326</v>
      </c>
      <c r="J488" s="59">
        <f>VLOOKUP(C488,[2]Hoja1!$A$197:$K$222,8,FALSE)</f>
        <v>1640</v>
      </c>
      <c r="K488" s="59">
        <f>VLOOKUP(C488,[2]Hoja1!$A$197:$K$222,9,FALSE)</f>
        <v>1747</v>
      </c>
      <c r="L488" s="59">
        <v>1858</v>
      </c>
      <c r="M488" s="59">
        <v>1725</v>
      </c>
      <c r="N488" s="91">
        <v>2004</v>
      </c>
      <c r="O488" s="91">
        <v>1522</v>
      </c>
      <c r="P488" s="59">
        <f t="shared" si="41"/>
        <v>18265</v>
      </c>
      <c r="Q488" s="59">
        <v>1952097</v>
      </c>
      <c r="R488" s="115">
        <f t="shared" si="42"/>
        <v>9.3566047179008009</v>
      </c>
      <c r="S488" s="133"/>
      <c r="T488" s="130"/>
    </row>
    <row r="489" spans="1:20" ht="29.25" customHeight="1" thickBot="1" x14ac:dyDescent="0.3">
      <c r="A489" s="38" t="s">
        <v>643</v>
      </c>
      <c r="B489" s="38" t="s">
        <v>612</v>
      </c>
      <c r="C489" s="114" t="s">
        <v>612</v>
      </c>
      <c r="D489" s="59">
        <v>1364</v>
      </c>
      <c r="E489" s="59">
        <v>1655</v>
      </c>
      <c r="F489" s="59">
        <v>1880</v>
      </c>
      <c r="G489" s="59">
        <v>1803</v>
      </c>
      <c r="H489" s="59">
        <v>1795</v>
      </c>
      <c r="I489" s="59">
        <v>2024</v>
      </c>
      <c r="J489" s="59">
        <f>VLOOKUP(C489,[2]Hoja1!$A$197:$K$222,8,FALSE)</f>
        <v>2231</v>
      </c>
      <c r="K489" s="59">
        <f>VLOOKUP(C489,[2]Hoja1!$A$197:$K$222,9,FALSE)</f>
        <v>2932</v>
      </c>
      <c r="L489" s="59">
        <v>3580</v>
      </c>
      <c r="M489" s="59">
        <v>3080</v>
      </c>
      <c r="N489" s="91">
        <v>3424</v>
      </c>
      <c r="O489" s="91">
        <v>2749</v>
      </c>
      <c r="P489" s="59">
        <f t="shared" si="41"/>
        <v>28517</v>
      </c>
      <c r="Q489" s="59">
        <v>3109344</v>
      </c>
      <c r="R489" s="115">
        <f t="shared" si="42"/>
        <v>9.1713879197669979</v>
      </c>
      <c r="S489" s="133"/>
      <c r="T489" s="130"/>
    </row>
    <row r="490" spans="1:20" ht="41.25" customHeight="1" thickBot="1" x14ac:dyDescent="0.3">
      <c r="A490" s="38" t="s">
        <v>644</v>
      </c>
      <c r="B490" s="38" t="s">
        <v>604</v>
      </c>
      <c r="C490" s="114" t="s">
        <v>604</v>
      </c>
      <c r="D490" s="59">
        <v>1455</v>
      </c>
      <c r="E490" s="59">
        <v>1704</v>
      </c>
      <c r="F490" s="59">
        <v>2028</v>
      </c>
      <c r="G490" s="59">
        <v>1878</v>
      </c>
      <c r="H490" s="59">
        <v>1691</v>
      </c>
      <c r="I490" s="59">
        <v>2020</v>
      </c>
      <c r="J490" s="59">
        <f>VLOOKUP(C490,[2]Hoja1!$A$197:$K$222,8,FALSE)</f>
        <v>2224</v>
      </c>
      <c r="K490" s="59">
        <f>VLOOKUP(C490,[2]Hoja1!$A$197:$K$222,9,FALSE)</f>
        <v>2643</v>
      </c>
      <c r="L490" s="59">
        <v>2892</v>
      </c>
      <c r="M490" s="59">
        <v>2553</v>
      </c>
      <c r="N490" s="91">
        <v>3068</v>
      </c>
      <c r="O490" s="91">
        <v>2256</v>
      </c>
      <c r="P490" s="59">
        <f t="shared" si="41"/>
        <v>26412</v>
      </c>
      <c r="Q490" s="59">
        <v>3076143</v>
      </c>
      <c r="R490" s="115">
        <f t="shared" si="42"/>
        <v>8.5860767851169477</v>
      </c>
      <c r="S490" s="133"/>
      <c r="T490" s="130"/>
    </row>
    <row r="491" spans="1:20" ht="21" customHeight="1" thickBot="1" x14ac:dyDescent="0.3">
      <c r="A491" s="38" t="s">
        <v>645</v>
      </c>
      <c r="B491" s="38" t="s">
        <v>646</v>
      </c>
      <c r="C491" s="114" t="s">
        <v>646</v>
      </c>
      <c r="D491" s="59">
        <v>38</v>
      </c>
      <c r="E491" s="59">
        <v>41</v>
      </c>
      <c r="F491" s="59">
        <v>70</v>
      </c>
      <c r="G491" s="59">
        <v>64</v>
      </c>
      <c r="H491" s="59">
        <v>75</v>
      </c>
      <c r="I491" s="59">
        <v>86</v>
      </c>
      <c r="J491" s="59">
        <f>VLOOKUP(C491,[2]Hoja1!$A$197:$K$222,8,FALSE)</f>
        <v>101</v>
      </c>
      <c r="K491" s="59">
        <f>VLOOKUP(C491,[2]Hoja1!$A$197:$K$222,9,FALSE)</f>
        <v>91</v>
      </c>
      <c r="L491" s="59">
        <v>109</v>
      </c>
      <c r="M491" s="59">
        <v>78</v>
      </c>
      <c r="N491" s="91">
        <v>109</v>
      </c>
      <c r="O491" s="91">
        <v>78</v>
      </c>
      <c r="P491" s="59">
        <f t="shared" si="41"/>
        <v>940</v>
      </c>
      <c r="Q491" s="59">
        <v>118300</v>
      </c>
      <c r="R491" s="115">
        <f t="shared" si="42"/>
        <v>7.9459002535925602</v>
      </c>
      <c r="S491" s="133"/>
      <c r="T491" s="130"/>
    </row>
    <row r="492" spans="1:20" ht="27.75" customHeight="1" thickBot="1" x14ac:dyDescent="0.3">
      <c r="A492" s="38" t="s">
        <v>658</v>
      </c>
      <c r="B492" s="38" t="s">
        <v>659</v>
      </c>
      <c r="C492" s="114" t="s">
        <v>659</v>
      </c>
      <c r="D492" s="59">
        <v>64</v>
      </c>
      <c r="E492" s="59">
        <v>71</v>
      </c>
      <c r="F492" s="59">
        <v>92</v>
      </c>
      <c r="G492" s="59">
        <v>87</v>
      </c>
      <c r="H492" s="59">
        <v>86</v>
      </c>
      <c r="I492" s="59">
        <v>79</v>
      </c>
      <c r="J492" s="59">
        <f>VLOOKUP(C492,[2]Hoja1!$A$197:$K$222,8,FALSE)</f>
        <v>95</v>
      </c>
      <c r="K492" s="59">
        <f>VLOOKUP(C492,[2]Hoja1!$A$197:$K$222,9,FALSE)</f>
        <v>105</v>
      </c>
      <c r="L492" s="59">
        <v>127</v>
      </c>
      <c r="M492" s="59">
        <v>98</v>
      </c>
      <c r="N492" s="91">
        <v>104</v>
      </c>
      <c r="O492" s="91">
        <v>78</v>
      </c>
      <c r="P492" s="59">
        <f t="shared" si="41"/>
        <v>1086</v>
      </c>
      <c r="Q492" s="59">
        <v>211082</v>
      </c>
      <c r="R492" s="115">
        <f t="shared" si="42"/>
        <v>5.1449199837030157</v>
      </c>
      <c r="S492" s="133"/>
      <c r="T492" s="130"/>
    </row>
    <row r="493" spans="1:20" ht="39" customHeight="1" thickBot="1" x14ac:dyDescent="0.3">
      <c r="A493" s="38" t="s">
        <v>647</v>
      </c>
      <c r="B493" s="38" t="s">
        <v>648</v>
      </c>
      <c r="C493" s="114" t="s">
        <v>648</v>
      </c>
      <c r="D493" s="59">
        <v>64</v>
      </c>
      <c r="E493" s="59">
        <v>88</v>
      </c>
      <c r="F493" s="59">
        <v>87</v>
      </c>
      <c r="G493" s="59">
        <v>78</v>
      </c>
      <c r="H493" s="59">
        <v>85</v>
      </c>
      <c r="I493" s="59">
        <v>101</v>
      </c>
      <c r="J493" s="59">
        <f>VLOOKUP(C493,[2]Hoja1!$A$197:$K$222,8,FALSE)</f>
        <v>99</v>
      </c>
      <c r="K493" s="59">
        <f>VLOOKUP(C493,[2]Hoja1!$A$197:$K$222,9,FALSE)</f>
        <v>65</v>
      </c>
      <c r="L493" s="59">
        <v>63</v>
      </c>
      <c r="M493" s="59">
        <v>58</v>
      </c>
      <c r="N493" s="91">
        <v>65</v>
      </c>
      <c r="O493" s="91">
        <v>52</v>
      </c>
      <c r="P493" s="59">
        <f t="shared" si="41"/>
        <v>905</v>
      </c>
      <c r="Q493" s="59">
        <v>178842</v>
      </c>
      <c r="R493" s="115">
        <f t="shared" si="42"/>
        <v>5.0603325840686191</v>
      </c>
      <c r="S493" s="133"/>
      <c r="T493" s="130"/>
    </row>
    <row r="494" spans="1:20" ht="32.25" customHeight="1" thickBot="1" x14ac:dyDescent="0.3">
      <c r="A494" s="38" t="s">
        <v>652</v>
      </c>
      <c r="B494" s="38" t="s">
        <v>653</v>
      </c>
      <c r="C494" s="114" t="s">
        <v>653</v>
      </c>
      <c r="D494" s="59">
        <v>686</v>
      </c>
      <c r="E494" s="59">
        <v>854</v>
      </c>
      <c r="F494" s="59">
        <v>1012</v>
      </c>
      <c r="G494" s="59">
        <v>952</v>
      </c>
      <c r="H494" s="59">
        <v>946</v>
      </c>
      <c r="I494" s="59">
        <v>889</v>
      </c>
      <c r="J494" s="59">
        <f>VLOOKUP(C494,[2]Hoja1!$A$197:$K$222,8,FALSE)</f>
        <v>1105</v>
      </c>
      <c r="K494" s="59">
        <f>VLOOKUP(C494,[2]Hoja1!$A$197:$K$222,9,FALSE)</f>
        <v>1155</v>
      </c>
      <c r="L494" s="59">
        <v>1243</v>
      </c>
      <c r="M494" s="59">
        <v>1117</v>
      </c>
      <c r="N494" s="91">
        <v>1199</v>
      </c>
      <c r="O494" s="91">
        <v>790</v>
      </c>
      <c r="P494" s="59">
        <f t="shared" si="41"/>
        <v>11948</v>
      </c>
      <c r="Q494" s="59">
        <v>2369176</v>
      </c>
      <c r="R494" s="115">
        <f t="shared" si="42"/>
        <v>5.0431035938233375</v>
      </c>
      <c r="S494" s="133"/>
      <c r="T494" s="130"/>
    </row>
    <row r="495" spans="1:20" ht="27.75" customHeight="1" thickBot="1" x14ac:dyDescent="0.3">
      <c r="A495" s="38" t="s">
        <v>660</v>
      </c>
      <c r="B495" s="38" t="s">
        <v>661</v>
      </c>
      <c r="C495" s="114" t="s">
        <v>661</v>
      </c>
      <c r="D495" s="59">
        <v>37</v>
      </c>
      <c r="E495" s="59">
        <v>46</v>
      </c>
      <c r="F495" s="59">
        <v>71</v>
      </c>
      <c r="G495" s="59">
        <v>72</v>
      </c>
      <c r="H495" s="59">
        <v>70</v>
      </c>
      <c r="I495" s="59">
        <v>53</v>
      </c>
      <c r="J495" s="59">
        <f>VLOOKUP(C495,[2]Hoja1!$A$197:$K$222,8,FALSE)</f>
        <v>72</v>
      </c>
      <c r="K495" s="59">
        <f>VLOOKUP(C495,[2]Hoja1!$A$197:$K$222,9,FALSE)</f>
        <v>74</v>
      </c>
      <c r="L495" s="59">
        <v>89</v>
      </c>
      <c r="M495" s="59">
        <v>86</v>
      </c>
      <c r="N495" s="91">
        <v>81</v>
      </c>
      <c r="O495" s="91">
        <v>61</v>
      </c>
      <c r="P495" s="59">
        <f t="shared" si="41"/>
        <v>812</v>
      </c>
      <c r="Q495" s="59">
        <v>261112</v>
      </c>
      <c r="R495" s="115">
        <f t="shared" si="42"/>
        <v>3.1097766475688595</v>
      </c>
      <c r="S495" s="133"/>
      <c r="T495" s="130"/>
    </row>
    <row r="496" spans="1:20" ht="29.25" customHeight="1" thickBot="1" x14ac:dyDescent="0.3">
      <c r="A496" s="38" t="s">
        <v>663</v>
      </c>
      <c r="B496" s="38" t="s">
        <v>664</v>
      </c>
      <c r="C496" s="114" t="s">
        <v>664</v>
      </c>
      <c r="D496" s="59">
        <v>18</v>
      </c>
      <c r="E496" s="59">
        <v>42</v>
      </c>
      <c r="F496" s="59">
        <v>56</v>
      </c>
      <c r="G496" s="59">
        <v>59</v>
      </c>
      <c r="H496" s="59">
        <v>67</v>
      </c>
      <c r="I496" s="59">
        <v>35</v>
      </c>
      <c r="J496" s="59">
        <f>VLOOKUP(C496,[2]Hoja1!$A$197:$K$222,8,FALSE)</f>
        <v>66</v>
      </c>
      <c r="K496" s="59">
        <f>VLOOKUP(C496,[2]Hoja1!$A$197:$K$222,9,FALSE)</f>
        <v>51</v>
      </c>
      <c r="L496" s="59">
        <v>64</v>
      </c>
      <c r="M496" s="59">
        <v>56</v>
      </c>
      <c r="N496" s="91">
        <v>83</v>
      </c>
      <c r="O496" s="91">
        <v>58</v>
      </c>
      <c r="P496" s="59">
        <f t="shared" si="41"/>
        <v>655</v>
      </c>
      <c r="Q496" s="59">
        <v>219839</v>
      </c>
      <c r="R496" s="115">
        <f t="shared" si="42"/>
        <v>2.9794531452563011</v>
      </c>
      <c r="S496" s="133"/>
      <c r="T496" s="130"/>
    </row>
    <row r="497" spans="1:20" ht="21" customHeight="1" thickBot="1" x14ac:dyDescent="0.3">
      <c r="A497" s="38" t="s">
        <v>654</v>
      </c>
      <c r="B497" s="38" t="s">
        <v>655</v>
      </c>
      <c r="C497" s="114" t="s">
        <v>655</v>
      </c>
      <c r="D497" s="59">
        <v>22</v>
      </c>
      <c r="E497" s="59">
        <v>16</v>
      </c>
      <c r="F497" s="59">
        <v>32</v>
      </c>
      <c r="G497" s="59">
        <v>14</v>
      </c>
      <c r="H497" s="59">
        <v>25</v>
      </c>
      <c r="I497" s="59">
        <v>23</v>
      </c>
      <c r="J497" s="59">
        <f>VLOOKUP(C497,[2]Hoja1!$A$197:$K$222,8,FALSE)</f>
        <v>25</v>
      </c>
      <c r="K497" s="59">
        <f>VLOOKUP(C497,[2]Hoja1!$A$197:$K$222,9,FALSE)</f>
        <v>27</v>
      </c>
      <c r="L497" s="59">
        <v>30</v>
      </c>
      <c r="M497" s="59">
        <v>27</v>
      </c>
      <c r="N497" s="91">
        <v>29</v>
      </c>
      <c r="O497" s="91">
        <v>32</v>
      </c>
      <c r="P497" s="59">
        <f t="shared" si="41"/>
        <v>302</v>
      </c>
      <c r="Q497" s="59">
        <v>101597</v>
      </c>
      <c r="R497" s="115">
        <f t="shared" si="42"/>
        <v>2.9725287163991063</v>
      </c>
      <c r="S497" s="133"/>
      <c r="T497" s="130"/>
    </row>
    <row r="498" spans="1:20" ht="33" customHeight="1" thickBot="1" x14ac:dyDescent="0.3">
      <c r="A498" s="38" t="s">
        <v>656</v>
      </c>
      <c r="B498" s="38" t="s">
        <v>657</v>
      </c>
      <c r="C498" s="114" t="s">
        <v>657</v>
      </c>
      <c r="D498" s="59">
        <v>113</v>
      </c>
      <c r="E498" s="59">
        <v>103</v>
      </c>
      <c r="F498" s="59">
        <v>103</v>
      </c>
      <c r="G498" s="59">
        <v>111</v>
      </c>
      <c r="H498" s="59">
        <v>81</v>
      </c>
      <c r="I498" s="59">
        <v>108</v>
      </c>
      <c r="J498" s="59">
        <f>VLOOKUP(C498,[2]Hoja1!$A$197:$K$222,8,FALSE)</f>
        <v>117</v>
      </c>
      <c r="K498" s="59">
        <f>VLOOKUP(C498,[2]Hoja1!$A$197:$K$222,9,FALSE)</f>
        <v>144</v>
      </c>
      <c r="L498" s="59">
        <v>136</v>
      </c>
      <c r="M498" s="59">
        <v>113</v>
      </c>
      <c r="N498" s="91">
        <v>107</v>
      </c>
      <c r="O498" s="91">
        <v>111</v>
      </c>
      <c r="P498" s="59">
        <f t="shared" si="41"/>
        <v>1347</v>
      </c>
      <c r="Q498" s="59">
        <v>545821</v>
      </c>
      <c r="R498" s="115">
        <f t="shared" si="42"/>
        <v>2.4678420214685763</v>
      </c>
      <c r="S498" s="133"/>
      <c r="T498" s="130"/>
    </row>
    <row r="499" spans="1:20" ht="35.25" customHeight="1" thickBot="1" x14ac:dyDescent="0.3">
      <c r="A499" s="38" t="s">
        <v>662</v>
      </c>
      <c r="B499" s="38" t="s">
        <v>738</v>
      </c>
      <c r="C499" s="114" t="s">
        <v>738</v>
      </c>
      <c r="D499" s="59">
        <v>54</v>
      </c>
      <c r="E499" s="59">
        <v>59</v>
      </c>
      <c r="F499" s="59">
        <v>57</v>
      </c>
      <c r="G499" s="59">
        <v>80</v>
      </c>
      <c r="H499" s="59">
        <v>51</v>
      </c>
      <c r="I499" s="59">
        <v>60</v>
      </c>
      <c r="J499" s="59">
        <f>VLOOKUP(C499,[2]Hoja1!$A$197:$K$222,8,FALSE)</f>
        <v>59</v>
      </c>
      <c r="K499" s="59">
        <f>VLOOKUP(C499,[2]Hoja1!$A$197:$K$222,9,FALSE)</f>
        <v>65</v>
      </c>
      <c r="L499" s="59">
        <v>73</v>
      </c>
      <c r="M499" s="59">
        <v>70</v>
      </c>
      <c r="N499" s="91">
        <v>90</v>
      </c>
      <c r="O499" s="91">
        <v>70</v>
      </c>
      <c r="P499" s="59">
        <f t="shared" si="41"/>
        <v>788</v>
      </c>
      <c r="Q499" s="59">
        <v>350263</v>
      </c>
      <c r="R499" s="115">
        <f t="shared" si="42"/>
        <v>2.2497380539765834</v>
      </c>
      <c r="S499" s="133"/>
      <c r="T499" s="130"/>
    </row>
    <row r="500" spans="1:20" ht="15.75" thickBot="1" x14ac:dyDescent="0.3">
      <c r="A500" s="38" t="s">
        <v>665</v>
      </c>
      <c r="B500" s="38" t="s">
        <v>666</v>
      </c>
      <c r="C500" s="114" t="s">
        <v>666</v>
      </c>
      <c r="D500" s="59">
        <v>22</v>
      </c>
      <c r="E500" s="59">
        <v>22</v>
      </c>
      <c r="F500" s="59">
        <v>16</v>
      </c>
      <c r="G500" s="59">
        <v>39</v>
      </c>
      <c r="H500" s="59">
        <v>36</v>
      </c>
      <c r="I500" s="59">
        <v>31</v>
      </c>
      <c r="J500" s="59">
        <f>VLOOKUP(C500,[2]Hoja1!$A$197:$K$222,8,FALSE)</f>
        <v>38</v>
      </c>
      <c r="K500" s="59">
        <f>VLOOKUP(C500,[2]Hoja1!$A$197:$K$222,9,FALSE)</f>
        <v>36</v>
      </c>
      <c r="L500" s="59">
        <v>42</v>
      </c>
      <c r="M500" s="59">
        <v>52</v>
      </c>
      <c r="N500" s="91">
        <v>36</v>
      </c>
      <c r="O500" s="91">
        <v>39</v>
      </c>
      <c r="P500" s="59">
        <f t="shared" si="41"/>
        <v>409</v>
      </c>
      <c r="Q500" s="59">
        <v>254844</v>
      </c>
      <c r="R500" s="115">
        <f t="shared" si="42"/>
        <v>1.6049033918789533</v>
      </c>
      <c r="S500" s="133"/>
      <c r="T500" s="130"/>
    </row>
    <row r="501" spans="1:20" ht="29.25" customHeight="1" thickBot="1" x14ac:dyDescent="0.3">
      <c r="A501" s="38" t="s">
        <v>635</v>
      </c>
      <c r="B501" s="38" t="s">
        <v>811</v>
      </c>
      <c r="C501" s="114" t="s">
        <v>802</v>
      </c>
      <c r="D501" s="59">
        <v>620</v>
      </c>
      <c r="E501" s="59">
        <v>757</v>
      </c>
      <c r="F501" s="59">
        <v>946</v>
      </c>
      <c r="G501" s="59">
        <v>819</v>
      </c>
      <c r="H501" s="59">
        <v>792</v>
      </c>
      <c r="I501" s="59">
        <v>824</v>
      </c>
      <c r="J501" s="118">
        <v>1500</v>
      </c>
      <c r="K501" s="118">
        <v>1112</v>
      </c>
      <c r="L501" s="59">
        <v>0</v>
      </c>
      <c r="M501" s="59">
        <v>0</v>
      </c>
      <c r="N501" s="91">
        <v>0</v>
      </c>
      <c r="O501" s="91">
        <v>0</v>
      </c>
      <c r="P501" s="59">
        <f t="shared" si="41"/>
        <v>7370</v>
      </c>
      <c r="Q501" s="59">
        <v>0</v>
      </c>
      <c r="R501" s="115">
        <v>0</v>
      </c>
      <c r="S501" s="133"/>
      <c r="T501" s="130"/>
    </row>
    <row r="502" spans="1:20" ht="27.75" customHeight="1" thickBot="1" x14ac:dyDescent="0.3">
      <c r="A502" s="38" t="s">
        <v>649</v>
      </c>
      <c r="B502" s="38" t="s">
        <v>812</v>
      </c>
      <c r="C502" s="114" t="s">
        <v>803</v>
      </c>
      <c r="D502" s="59">
        <v>87</v>
      </c>
      <c r="E502" s="59">
        <v>62</v>
      </c>
      <c r="F502" s="59">
        <v>89</v>
      </c>
      <c r="G502" s="59">
        <v>67</v>
      </c>
      <c r="H502" s="59">
        <v>60</v>
      </c>
      <c r="I502" s="59">
        <v>71</v>
      </c>
      <c r="J502" s="118">
        <v>52</v>
      </c>
      <c r="K502" s="118">
        <v>0</v>
      </c>
      <c r="L502" s="59">
        <v>0</v>
      </c>
      <c r="M502" s="59">
        <v>0</v>
      </c>
      <c r="N502" s="91">
        <v>0</v>
      </c>
      <c r="O502" s="91">
        <v>0</v>
      </c>
      <c r="P502" s="59">
        <f t="shared" si="41"/>
        <v>488</v>
      </c>
      <c r="Q502" s="59">
        <v>0</v>
      </c>
      <c r="R502" s="115">
        <v>0</v>
      </c>
      <c r="S502" s="133"/>
      <c r="T502" s="130"/>
    </row>
    <row r="503" spans="1:20" ht="42" customHeight="1" thickBot="1" x14ac:dyDescent="0.3">
      <c r="A503" s="38" t="s">
        <v>638</v>
      </c>
      <c r="B503" s="38" t="s">
        <v>813</v>
      </c>
      <c r="C503" s="114" t="s">
        <v>804</v>
      </c>
      <c r="D503" s="59">
        <v>432</v>
      </c>
      <c r="E503" s="59">
        <v>1304</v>
      </c>
      <c r="F503" s="59">
        <v>2111</v>
      </c>
      <c r="G503" s="59">
        <v>2220</v>
      </c>
      <c r="H503" s="59">
        <v>0</v>
      </c>
      <c r="I503" s="59">
        <v>0</v>
      </c>
      <c r="J503" s="59">
        <f>VLOOKUP(C503,[2]Hoja1!$A$197:$K$222,8,FALSE)</f>
        <v>0</v>
      </c>
      <c r="K503" s="59">
        <f>VLOOKUP(C503,[2]Hoja1!$A$197:$K$222,9,FALSE)</f>
        <v>0</v>
      </c>
      <c r="L503" s="59">
        <v>0</v>
      </c>
      <c r="M503" s="59">
        <v>0</v>
      </c>
      <c r="N503" s="91">
        <v>0</v>
      </c>
      <c r="O503" s="91">
        <v>0</v>
      </c>
      <c r="P503" s="59">
        <f t="shared" si="41"/>
        <v>6067</v>
      </c>
      <c r="Q503" s="59">
        <v>0</v>
      </c>
      <c r="R503" s="115">
        <v>0</v>
      </c>
      <c r="S503" s="133"/>
      <c r="T503" s="130"/>
    </row>
    <row r="504" spans="1:20" ht="15.75" thickBot="1" x14ac:dyDescent="0.3">
      <c r="C504" s="47" t="s">
        <v>15</v>
      </c>
      <c r="D504" s="94">
        <f t="shared" ref="D504:Q504" si="43">SUM(D479:D503)</f>
        <v>15981</v>
      </c>
      <c r="E504" s="94">
        <f t="shared" si="43"/>
        <v>19736</v>
      </c>
      <c r="F504" s="94">
        <f t="shared" si="43"/>
        <v>23496</v>
      </c>
      <c r="G504" s="94">
        <f t="shared" si="43"/>
        <v>21960</v>
      </c>
      <c r="H504" s="94">
        <f t="shared" si="43"/>
        <v>17260</v>
      </c>
      <c r="I504" s="94">
        <f t="shared" si="43"/>
        <v>18926</v>
      </c>
      <c r="J504" s="94">
        <f t="shared" si="43"/>
        <v>22766</v>
      </c>
      <c r="K504" s="94">
        <f t="shared" si="43"/>
        <v>24942</v>
      </c>
      <c r="L504" s="94">
        <f t="shared" si="43"/>
        <v>26662</v>
      </c>
      <c r="M504" s="94">
        <f t="shared" si="43"/>
        <v>24267</v>
      </c>
      <c r="N504" s="94">
        <f t="shared" si="43"/>
        <v>26507</v>
      </c>
      <c r="O504" s="94">
        <v>19928</v>
      </c>
      <c r="P504" s="104">
        <f t="shared" si="43"/>
        <v>262431</v>
      </c>
      <c r="Q504" s="105">
        <f t="shared" si="43"/>
        <v>21105532</v>
      </c>
      <c r="R504" s="95" t="s">
        <v>1031</v>
      </c>
    </row>
    <row r="505" spans="1:20" ht="24" customHeight="1" x14ac:dyDescent="0.25">
      <c r="A505" s="1"/>
      <c r="B505" s="34"/>
      <c r="C505" s="152" t="s">
        <v>801</v>
      </c>
      <c r="D505" s="152"/>
      <c r="E505" s="152"/>
      <c r="F505" s="152"/>
      <c r="G505" s="152"/>
      <c r="H505" s="152"/>
      <c r="I505" s="152"/>
      <c r="J505" s="152"/>
      <c r="K505" s="152"/>
      <c r="L505" s="152"/>
      <c r="M505" s="152"/>
      <c r="N505" s="152"/>
      <c r="O505" s="152"/>
      <c r="P505" s="152"/>
      <c r="Q505" s="152"/>
      <c r="R505" s="152"/>
    </row>
    <row r="506" spans="1:20" x14ac:dyDescent="0.25">
      <c r="A506" s="1"/>
      <c r="B506" s="34"/>
      <c r="C506" s="152" t="s">
        <v>797</v>
      </c>
      <c r="D506" s="152"/>
      <c r="E506" s="152"/>
      <c r="F506" s="152"/>
      <c r="G506" s="152"/>
      <c r="H506" s="152"/>
      <c r="I506" s="152"/>
      <c r="J506" s="152"/>
      <c r="K506" s="152"/>
      <c r="L506" s="152"/>
      <c r="M506" s="152"/>
      <c r="N506" s="152"/>
      <c r="O506" s="152"/>
      <c r="P506" s="152"/>
      <c r="Q506" s="152"/>
      <c r="R506" s="152"/>
    </row>
    <row r="507" spans="1:20" ht="24" customHeight="1" x14ac:dyDescent="0.25">
      <c r="A507" s="1"/>
      <c r="B507" s="34"/>
      <c r="C507" s="152" t="s">
        <v>798</v>
      </c>
      <c r="D507" s="152"/>
      <c r="E507" s="152"/>
      <c r="F507" s="152"/>
      <c r="G507" s="152"/>
      <c r="H507" s="152"/>
      <c r="I507" s="152"/>
      <c r="J507" s="152"/>
      <c r="K507" s="152"/>
      <c r="L507" s="152"/>
      <c r="M507" s="152"/>
      <c r="N507" s="152"/>
      <c r="O507" s="152"/>
      <c r="P507" s="152"/>
      <c r="Q507" s="152"/>
      <c r="R507" s="152"/>
    </row>
    <row r="508" spans="1:20" ht="24" customHeight="1" x14ac:dyDescent="0.25">
      <c r="A508" s="1"/>
      <c r="B508" s="34"/>
      <c r="C508" s="152" t="s">
        <v>734</v>
      </c>
      <c r="D508" s="152"/>
      <c r="E508" s="152"/>
      <c r="F508" s="152"/>
      <c r="G508" s="152"/>
      <c r="H508" s="152"/>
      <c r="I508" s="152"/>
      <c r="J508" s="152"/>
      <c r="K508" s="152"/>
      <c r="L508" s="152"/>
      <c r="M508" s="152"/>
      <c r="N508" s="152"/>
      <c r="O508" s="152"/>
      <c r="P508" s="152"/>
      <c r="Q508" s="152"/>
      <c r="R508" s="152"/>
    </row>
    <row r="509" spans="1:20" ht="38.25" customHeight="1" x14ac:dyDescent="0.25">
      <c r="A509" s="1"/>
      <c r="B509" s="34"/>
      <c r="C509" s="153" t="s">
        <v>735</v>
      </c>
      <c r="D509" s="153"/>
      <c r="E509" s="153"/>
      <c r="F509" s="153"/>
      <c r="G509" s="153"/>
      <c r="H509" s="153"/>
      <c r="I509" s="153"/>
      <c r="J509" s="153"/>
      <c r="K509" s="153"/>
      <c r="L509" s="153"/>
      <c r="M509" s="153"/>
      <c r="N509" s="153"/>
      <c r="O509" s="153"/>
      <c r="P509" s="153"/>
      <c r="Q509" s="153"/>
      <c r="R509" s="153"/>
    </row>
    <row r="510" spans="1:20" ht="24" customHeight="1" x14ac:dyDescent="0.25">
      <c r="A510" s="1"/>
      <c r="B510" s="34"/>
      <c r="C510" s="153" t="s">
        <v>736</v>
      </c>
      <c r="D510" s="153"/>
      <c r="E510" s="153"/>
      <c r="F510" s="153"/>
      <c r="G510" s="153"/>
      <c r="H510" s="153"/>
      <c r="I510" s="153"/>
      <c r="J510" s="153"/>
      <c r="K510" s="153"/>
      <c r="L510" s="153"/>
      <c r="M510" s="153"/>
      <c r="N510" s="153"/>
      <c r="O510" s="153"/>
      <c r="P510" s="153"/>
      <c r="Q510" s="153"/>
      <c r="R510" s="153"/>
    </row>
    <row r="511" spans="1:20" x14ac:dyDescent="0.25">
      <c r="C511" s="151" t="s">
        <v>744</v>
      </c>
      <c r="D511" s="151"/>
      <c r="E511" s="151"/>
      <c r="F511" s="151"/>
      <c r="G511" s="151"/>
      <c r="H511" s="151"/>
      <c r="I511" s="151"/>
      <c r="J511" s="151"/>
      <c r="K511" s="151"/>
      <c r="L511" s="151"/>
      <c r="M511" s="151"/>
      <c r="N511" s="151"/>
      <c r="O511" s="151"/>
      <c r="P511" s="151"/>
      <c r="Q511" s="151"/>
      <c r="R511" s="151"/>
    </row>
    <row r="512" spans="1:20" x14ac:dyDescent="0.25">
      <c r="C512" s="151" t="str">
        <f>C15</f>
        <v>FUENTE: BASE DE DATOS SNS AÑO 2.021 (ENERO-DICIEMBRE)</v>
      </c>
      <c r="D512" s="151"/>
      <c r="E512" s="151"/>
      <c r="F512" s="151"/>
      <c r="G512" s="151"/>
      <c r="H512" s="151"/>
      <c r="I512" s="151"/>
      <c r="J512" s="151"/>
      <c r="K512" s="151"/>
      <c r="L512" s="151"/>
      <c r="M512" s="151"/>
      <c r="N512" s="151"/>
      <c r="O512" s="151"/>
      <c r="P512" s="151"/>
      <c r="Q512" s="151"/>
      <c r="R512" s="151"/>
    </row>
    <row r="514" spans="1:20" x14ac:dyDescent="0.25">
      <c r="C514" s="9"/>
    </row>
    <row r="515" spans="1:20" x14ac:dyDescent="0.25">
      <c r="C515" s="9"/>
    </row>
    <row r="516" spans="1:20" ht="15.75" x14ac:dyDescent="0.25">
      <c r="C516" s="4" t="s">
        <v>83</v>
      </c>
    </row>
    <row r="517" spans="1:20" ht="15.75" thickBot="1" x14ac:dyDescent="0.3"/>
    <row r="518" spans="1:20" ht="15.75" thickBot="1" x14ac:dyDescent="0.3">
      <c r="B518" s="1" t="s">
        <v>667</v>
      </c>
      <c r="C518" s="47" t="s">
        <v>84</v>
      </c>
      <c r="D518" s="48" t="s">
        <v>2</v>
      </c>
      <c r="E518" s="48" t="s">
        <v>3</v>
      </c>
      <c r="F518" s="48" t="s">
        <v>4</v>
      </c>
      <c r="G518" s="48" t="s">
        <v>5</v>
      </c>
      <c r="H518" s="48" t="s">
        <v>6</v>
      </c>
      <c r="I518" s="48" t="s">
        <v>7</v>
      </c>
      <c r="J518" s="48" t="s">
        <v>8</v>
      </c>
      <c r="K518" s="48" t="s">
        <v>9</v>
      </c>
      <c r="L518" s="48" t="s">
        <v>10</v>
      </c>
      <c r="M518" s="48" t="s">
        <v>11</v>
      </c>
      <c r="N518" s="48" t="s">
        <v>12</v>
      </c>
      <c r="O518" s="48" t="s">
        <v>13</v>
      </c>
      <c r="P518" s="49" t="str">
        <f>P9</f>
        <v>TOTAL AÑO 2.021</v>
      </c>
      <c r="Q518" s="53" t="s">
        <v>26</v>
      </c>
    </row>
    <row r="519" spans="1:20" ht="15.75" thickBot="1" x14ac:dyDescent="0.3">
      <c r="A519" s="27">
        <v>1</v>
      </c>
      <c r="B519" s="87" t="str">
        <f>+C519</f>
        <v>MAGISTERIO</v>
      </c>
      <c r="C519" s="123" t="s">
        <v>668</v>
      </c>
      <c r="D519" s="124">
        <v>2613</v>
      </c>
      <c r="E519" s="124">
        <v>2607</v>
      </c>
      <c r="F519" s="124">
        <v>3212</v>
      </c>
      <c r="G519" s="124">
        <v>2961</v>
      </c>
      <c r="H519" s="124">
        <v>2605</v>
      </c>
      <c r="I519" s="124">
        <v>2835</v>
      </c>
      <c r="J519" s="124">
        <v>3007</v>
      </c>
      <c r="K519" s="124">
        <v>3164</v>
      </c>
      <c r="L519" s="59">
        <v>3367</v>
      </c>
      <c r="M519" s="59">
        <v>3325</v>
      </c>
      <c r="N519" s="59">
        <v>3694</v>
      </c>
      <c r="O519" s="125">
        <v>2555</v>
      </c>
      <c r="P519" s="59">
        <f>SUM(D519:O519)</f>
        <v>35945</v>
      </c>
      <c r="Q519" s="126">
        <f t="shared" ref="Q519:Q550" si="44">P519/$P$607</f>
        <v>0.45916737989090861</v>
      </c>
      <c r="R519" s="10"/>
      <c r="S519"/>
      <c r="T519"/>
    </row>
    <row r="520" spans="1:20" ht="15.75" thickBot="1" x14ac:dyDescent="0.3">
      <c r="A520" s="27">
        <v>2</v>
      </c>
      <c r="B520" s="87" t="str">
        <f t="shared" ref="B520:B583" si="45">+C520</f>
        <v>POLICÍA NACIONAL</v>
      </c>
      <c r="C520" s="123" t="s">
        <v>682</v>
      </c>
      <c r="D520" s="124">
        <v>747</v>
      </c>
      <c r="E520" s="124">
        <v>963</v>
      </c>
      <c r="F520" s="124">
        <v>1275</v>
      </c>
      <c r="G520" s="124">
        <v>1264</v>
      </c>
      <c r="H520" s="124">
        <v>1030</v>
      </c>
      <c r="I520" s="124">
        <v>1081</v>
      </c>
      <c r="J520" s="124">
        <v>1113</v>
      </c>
      <c r="K520" s="124">
        <v>1244</v>
      </c>
      <c r="L520" s="59">
        <v>1414</v>
      </c>
      <c r="M520" s="59">
        <v>1219</v>
      </c>
      <c r="N520" s="59">
        <v>1276</v>
      </c>
      <c r="O520" s="125">
        <v>906</v>
      </c>
      <c r="P520" s="59">
        <f t="shared" ref="P520:P528" si="46">SUM(D520:O520)</f>
        <v>13532</v>
      </c>
      <c r="Q520" s="126">
        <f t="shared" si="44"/>
        <v>0.17286000791998263</v>
      </c>
      <c r="R520" s="10"/>
      <c r="S520"/>
      <c r="T520"/>
    </row>
    <row r="521" spans="1:20" ht="15.75" thickBot="1" x14ac:dyDescent="0.3">
      <c r="A521" s="27">
        <v>3</v>
      </c>
      <c r="B521" s="87" t="str">
        <f t="shared" si="45"/>
        <v>FUERZAS MILITARES</v>
      </c>
      <c r="C521" s="123" t="s">
        <v>669</v>
      </c>
      <c r="D521" s="124">
        <v>573</v>
      </c>
      <c r="E521" s="124">
        <v>642</v>
      </c>
      <c r="F521" s="124">
        <v>803</v>
      </c>
      <c r="G521" s="124">
        <v>727</v>
      </c>
      <c r="H521" s="124">
        <v>622</v>
      </c>
      <c r="I521" s="124">
        <v>616</v>
      </c>
      <c r="J521" s="124">
        <v>732</v>
      </c>
      <c r="K521" s="124">
        <v>855</v>
      </c>
      <c r="L521" s="59">
        <v>791</v>
      </c>
      <c r="M521" s="59">
        <v>692</v>
      </c>
      <c r="N521" s="59">
        <v>782</v>
      </c>
      <c r="O521" s="125">
        <v>501</v>
      </c>
      <c r="P521" s="59">
        <f t="shared" si="46"/>
        <v>8336</v>
      </c>
      <c r="Q521" s="126">
        <f t="shared" si="44"/>
        <v>0.10648544383838125</v>
      </c>
      <c r="R521" s="10"/>
      <c r="S521"/>
      <c r="T521"/>
    </row>
    <row r="522" spans="1:20" ht="45.75" thickBot="1" x14ac:dyDescent="0.3">
      <c r="A522" s="27">
        <v>4</v>
      </c>
      <c r="B522" s="87" t="str">
        <f t="shared" si="45"/>
        <v>FONDO DE PASIVO SOCIAL DE FERROCARRILES NACIONALES DE COLOMBIA.</v>
      </c>
      <c r="C522" s="123" t="s">
        <v>671</v>
      </c>
      <c r="D522" s="124">
        <v>235</v>
      </c>
      <c r="E522" s="124">
        <v>190</v>
      </c>
      <c r="F522" s="124">
        <v>219</v>
      </c>
      <c r="G522" s="124">
        <v>226</v>
      </c>
      <c r="H522" s="124">
        <v>195</v>
      </c>
      <c r="I522" s="124">
        <v>232</v>
      </c>
      <c r="J522" s="124">
        <v>233</v>
      </c>
      <c r="K522" s="124">
        <v>214</v>
      </c>
      <c r="L522" s="59">
        <v>184</v>
      </c>
      <c r="M522" s="59">
        <v>193</v>
      </c>
      <c r="N522" s="59">
        <v>202</v>
      </c>
      <c r="O522" s="125">
        <v>159</v>
      </c>
      <c r="P522" s="59">
        <f t="shared" si="46"/>
        <v>2482</v>
      </c>
      <c r="Q522" s="126">
        <f t="shared" si="44"/>
        <v>3.1705478839594806E-2</v>
      </c>
      <c r="R522" s="10"/>
      <c r="S522"/>
      <c r="T522"/>
    </row>
    <row r="523" spans="1:20" ht="51.75" customHeight="1" thickBot="1" x14ac:dyDescent="0.3">
      <c r="A523" s="27">
        <v>5</v>
      </c>
      <c r="B523" s="87" t="str">
        <f t="shared" si="45"/>
        <v>ARL - SURAMERICANA</v>
      </c>
      <c r="C523" s="123" t="s">
        <v>672</v>
      </c>
      <c r="D523" s="124">
        <v>151</v>
      </c>
      <c r="E523" s="124">
        <v>142</v>
      </c>
      <c r="F523" s="124">
        <v>159</v>
      </c>
      <c r="G523" s="124">
        <v>147</v>
      </c>
      <c r="H523" s="124">
        <v>111</v>
      </c>
      <c r="I523" s="124">
        <v>140</v>
      </c>
      <c r="J523" s="124">
        <v>217</v>
      </c>
      <c r="K523" s="124">
        <v>161</v>
      </c>
      <c r="L523" s="59">
        <v>196</v>
      </c>
      <c r="M523" s="59">
        <v>179</v>
      </c>
      <c r="N523" s="59">
        <v>193</v>
      </c>
      <c r="O523" s="125">
        <v>148</v>
      </c>
      <c r="P523" s="59">
        <f t="shared" si="46"/>
        <v>1944</v>
      </c>
      <c r="Q523" s="126">
        <f t="shared" si="44"/>
        <v>2.4832977785726146E-2</v>
      </c>
      <c r="R523" s="10"/>
      <c r="S523"/>
      <c r="T523"/>
    </row>
    <row r="524" spans="1:20" ht="33" customHeight="1" thickBot="1" x14ac:dyDescent="0.3">
      <c r="A524" s="27">
        <v>6</v>
      </c>
      <c r="B524" s="87" t="str">
        <f t="shared" si="45"/>
        <v>SECRETARÍA DISTRITAL DE SALUD  DE BOGOTÁ</v>
      </c>
      <c r="C524" s="123" t="s">
        <v>815</v>
      </c>
      <c r="D524" s="124">
        <v>268</v>
      </c>
      <c r="E524" s="124">
        <v>126</v>
      </c>
      <c r="F524" s="124">
        <v>143</v>
      </c>
      <c r="G524" s="124">
        <v>192</v>
      </c>
      <c r="H524" s="124">
        <v>402</v>
      </c>
      <c r="I524" s="124">
        <v>190</v>
      </c>
      <c r="J524" s="124">
        <v>130</v>
      </c>
      <c r="K524" s="124">
        <v>111</v>
      </c>
      <c r="L524" s="59">
        <v>94</v>
      </c>
      <c r="M524" s="59">
        <v>92</v>
      </c>
      <c r="N524" s="59">
        <v>85</v>
      </c>
      <c r="O524" s="125">
        <v>74</v>
      </c>
      <c r="P524" s="59">
        <f t="shared" si="46"/>
        <v>1907</v>
      </c>
      <c r="Q524" s="126">
        <f t="shared" si="44"/>
        <v>2.4360333661203583E-2</v>
      </c>
      <c r="R524" s="10"/>
      <c r="S524"/>
      <c r="T524"/>
    </row>
    <row r="525" spans="1:20" ht="17.25" customHeight="1" thickBot="1" x14ac:dyDescent="0.3">
      <c r="A525" s="27">
        <v>7</v>
      </c>
      <c r="B525" s="87" t="str">
        <f t="shared" si="45"/>
        <v>ARL - POSITIVA</v>
      </c>
      <c r="C525" s="123" t="s">
        <v>670</v>
      </c>
      <c r="D525" s="124">
        <v>138</v>
      </c>
      <c r="E525" s="124">
        <v>161</v>
      </c>
      <c r="F525" s="124">
        <v>166</v>
      </c>
      <c r="G525" s="124">
        <v>148</v>
      </c>
      <c r="H525" s="124">
        <v>152</v>
      </c>
      <c r="I525" s="124">
        <v>136</v>
      </c>
      <c r="J525" s="124">
        <v>150</v>
      </c>
      <c r="K525" s="124">
        <v>138</v>
      </c>
      <c r="L525" s="59">
        <v>180</v>
      </c>
      <c r="M525" s="59">
        <v>153</v>
      </c>
      <c r="N525" s="59">
        <v>157</v>
      </c>
      <c r="O525" s="125">
        <v>135</v>
      </c>
      <c r="P525" s="59">
        <f t="shared" si="46"/>
        <v>1814</v>
      </c>
      <c r="Q525" s="126">
        <f t="shared" si="44"/>
        <v>2.3172336267133348E-2</v>
      </c>
      <c r="R525" s="10"/>
      <c r="S525"/>
      <c r="T525"/>
    </row>
    <row r="526" spans="1:20" ht="28.5" customHeight="1" thickBot="1" x14ac:dyDescent="0.3">
      <c r="A526" s="27">
        <v>8</v>
      </c>
      <c r="B526" s="87" t="str">
        <f t="shared" si="45"/>
        <v>DIRECCIÓN SECCIONAL DE SALUD DE ANTIOQUIA</v>
      </c>
      <c r="C526" s="123" t="s">
        <v>683</v>
      </c>
      <c r="D526" s="124">
        <v>70</v>
      </c>
      <c r="E526" s="124">
        <v>70</v>
      </c>
      <c r="F526" s="124">
        <v>91</v>
      </c>
      <c r="G526" s="124">
        <v>201</v>
      </c>
      <c r="H526" s="124">
        <v>115</v>
      </c>
      <c r="I526" s="124">
        <v>77</v>
      </c>
      <c r="J526" s="124">
        <v>76</v>
      </c>
      <c r="K526" s="124">
        <v>99</v>
      </c>
      <c r="L526" s="59">
        <v>255</v>
      </c>
      <c r="M526" s="59">
        <v>211</v>
      </c>
      <c r="N526" s="59">
        <v>237</v>
      </c>
      <c r="O526" s="125">
        <v>155</v>
      </c>
      <c r="P526" s="59">
        <f t="shared" si="46"/>
        <v>1657</v>
      </c>
      <c r="Q526" s="126">
        <f t="shared" si="44"/>
        <v>2.1166792279294355E-2</v>
      </c>
      <c r="R526" s="10"/>
      <c r="S526"/>
      <c r="T526"/>
    </row>
    <row r="527" spans="1:20" ht="36.75" customHeight="1" thickBot="1" x14ac:dyDescent="0.3">
      <c r="A527" s="27">
        <v>9</v>
      </c>
      <c r="B527" s="87" t="str">
        <f t="shared" si="45"/>
        <v>COLSANITAS S.A. COMPAÑIA DE MEDICINA PREPAGADA</v>
      </c>
      <c r="C527" s="123" t="s">
        <v>1027</v>
      </c>
      <c r="D527" s="124">
        <v>104</v>
      </c>
      <c r="E527" s="124">
        <v>82</v>
      </c>
      <c r="F527" s="124">
        <v>78</v>
      </c>
      <c r="G527" s="124">
        <v>83</v>
      </c>
      <c r="H527" s="124">
        <v>70</v>
      </c>
      <c r="I527" s="124">
        <v>101</v>
      </c>
      <c r="J527" s="124">
        <v>93</v>
      </c>
      <c r="K527" s="124">
        <v>86</v>
      </c>
      <c r="L527" s="59">
        <v>91</v>
      </c>
      <c r="M527" s="59">
        <v>76</v>
      </c>
      <c r="N527" s="59">
        <v>87</v>
      </c>
      <c r="O527" s="125">
        <v>68</v>
      </c>
      <c r="P527" s="59">
        <f t="shared" si="46"/>
        <v>1019</v>
      </c>
      <c r="Q527" s="126">
        <f t="shared" si="44"/>
        <v>1.3016874672662009E-2</v>
      </c>
      <c r="R527" s="10"/>
      <c r="S527"/>
      <c r="T527"/>
    </row>
    <row r="528" spans="1:20" ht="30.75" thickBot="1" x14ac:dyDescent="0.3">
      <c r="A528" s="27">
        <v>10</v>
      </c>
      <c r="B528" s="87" t="str">
        <f t="shared" si="45"/>
        <v>SECRETARÍA DE SALUD DEPARTAMENTAL DEL VALLE</v>
      </c>
      <c r="C528" s="123" t="s">
        <v>783</v>
      </c>
      <c r="D528" s="124">
        <v>60</v>
      </c>
      <c r="E528" s="124">
        <v>58</v>
      </c>
      <c r="F528" s="124">
        <v>64</v>
      </c>
      <c r="G528" s="124">
        <v>85</v>
      </c>
      <c r="H528" s="124">
        <v>96</v>
      </c>
      <c r="I528" s="124">
        <v>53</v>
      </c>
      <c r="J528" s="124">
        <v>70</v>
      </c>
      <c r="K528" s="124">
        <v>93</v>
      </c>
      <c r="L528" s="59">
        <v>77</v>
      </c>
      <c r="M528" s="59">
        <v>51</v>
      </c>
      <c r="N528" s="59">
        <v>59</v>
      </c>
      <c r="O528" s="125">
        <v>66</v>
      </c>
      <c r="P528" s="59">
        <f t="shared" si="46"/>
        <v>832</v>
      </c>
      <c r="Q528" s="126">
        <f t="shared" si="44"/>
        <v>1.0628105718993907E-2</v>
      </c>
      <c r="R528" s="10"/>
      <c r="S528"/>
      <c r="T528"/>
    </row>
    <row r="529" spans="2:20" ht="15.75" hidden="1" thickBot="1" x14ac:dyDescent="0.3">
      <c r="B529" s="87" t="str">
        <f t="shared" si="45"/>
        <v>ARL - SEGUROS DE VIDA COLPATRIA</v>
      </c>
      <c r="C529" s="120" t="s">
        <v>94</v>
      </c>
      <c r="D529" s="121">
        <v>56</v>
      </c>
      <c r="E529" s="121">
        <v>51</v>
      </c>
      <c r="F529" s="121">
        <v>73</v>
      </c>
      <c r="G529" s="119">
        <v>39</v>
      </c>
      <c r="H529" s="121">
        <v>62</v>
      </c>
      <c r="I529" s="121">
        <v>39</v>
      </c>
      <c r="J529" s="121">
        <v>46</v>
      </c>
      <c r="K529" s="121">
        <v>52</v>
      </c>
      <c r="L529" s="59">
        <v>52</v>
      </c>
      <c r="M529" s="81">
        <v>56</v>
      </c>
      <c r="N529" s="81">
        <v>49</v>
      </c>
      <c r="O529" s="85">
        <v>51</v>
      </c>
      <c r="P529" s="81">
        <f t="shared" ref="P529:P582" si="47">SUM(D529:O529)</f>
        <v>626</v>
      </c>
      <c r="Q529" s="66">
        <f t="shared" si="44"/>
        <v>7.9966276203007041E-3</v>
      </c>
      <c r="R529" s="10"/>
      <c r="S529"/>
      <c r="T529"/>
    </row>
    <row r="530" spans="2:20" ht="30.75" hidden="1" thickBot="1" x14ac:dyDescent="0.3">
      <c r="B530" s="87" t="str">
        <f t="shared" si="45"/>
        <v>INSTITUTO DEPARTAMENTAL DE SALUD DE NORTE DE SANTANDER</v>
      </c>
      <c r="C530" s="120" t="s">
        <v>89</v>
      </c>
      <c r="D530" s="121">
        <v>212</v>
      </c>
      <c r="E530" s="121">
        <v>9</v>
      </c>
      <c r="F530" s="121">
        <v>10</v>
      </c>
      <c r="G530" s="119">
        <v>13</v>
      </c>
      <c r="H530" s="121">
        <v>36</v>
      </c>
      <c r="I530" s="121">
        <v>13</v>
      </c>
      <c r="J530" s="121">
        <v>21</v>
      </c>
      <c r="K530" s="121">
        <v>62</v>
      </c>
      <c r="L530" s="59">
        <v>79</v>
      </c>
      <c r="M530" s="81">
        <v>72</v>
      </c>
      <c r="N530" s="81">
        <v>64</v>
      </c>
      <c r="O530" s="85">
        <v>21</v>
      </c>
      <c r="P530" s="81">
        <f t="shared" si="47"/>
        <v>612</v>
      </c>
      <c r="Q530" s="66">
        <f t="shared" si="44"/>
        <v>7.8177893029137864E-3</v>
      </c>
      <c r="R530" s="10"/>
      <c r="S530"/>
      <c r="T530"/>
    </row>
    <row r="531" spans="2:20" ht="15.75" hidden="1" thickBot="1" x14ac:dyDescent="0.3">
      <c r="B531" s="87" t="str">
        <f t="shared" si="45"/>
        <v>COLMEDICA MEDICINA PREPAGADA S A</v>
      </c>
      <c r="C531" s="120" t="s">
        <v>102</v>
      </c>
      <c r="D531" s="121">
        <v>52</v>
      </c>
      <c r="E531" s="121">
        <v>40</v>
      </c>
      <c r="F531" s="121">
        <v>47</v>
      </c>
      <c r="G531" s="119">
        <v>46</v>
      </c>
      <c r="H531" s="121">
        <v>42</v>
      </c>
      <c r="I531" s="121">
        <v>59</v>
      </c>
      <c r="J531" s="121">
        <v>50</v>
      </c>
      <c r="K531" s="121">
        <v>38</v>
      </c>
      <c r="L531" s="59">
        <v>24</v>
      </c>
      <c r="M531" s="81">
        <v>40</v>
      </c>
      <c r="N531" s="81">
        <v>53</v>
      </c>
      <c r="O531" s="85">
        <v>38</v>
      </c>
      <c r="P531" s="81">
        <f t="shared" si="47"/>
        <v>529</v>
      </c>
      <c r="Q531" s="66">
        <f t="shared" si="44"/>
        <v>6.757533564119924E-3</v>
      </c>
      <c r="R531" s="10"/>
      <c r="S531"/>
      <c r="T531"/>
    </row>
    <row r="532" spans="2:20" ht="15.75" hidden="1" thickBot="1" x14ac:dyDescent="0.3">
      <c r="B532" s="87" t="str">
        <f t="shared" si="45"/>
        <v>COOMEVA MEDICINA PREPAGADA S.A.</v>
      </c>
      <c r="C532" s="120" t="s">
        <v>85</v>
      </c>
      <c r="D532" s="82">
        <v>68</v>
      </c>
      <c r="E532" s="82">
        <v>65</v>
      </c>
      <c r="F532" s="82">
        <v>58</v>
      </c>
      <c r="G532" s="86">
        <v>28</v>
      </c>
      <c r="H532" s="82">
        <v>21</v>
      </c>
      <c r="I532" s="82">
        <v>40</v>
      </c>
      <c r="J532" s="82">
        <v>37</v>
      </c>
      <c r="K532" s="82">
        <v>48</v>
      </c>
      <c r="L532" s="59">
        <v>47</v>
      </c>
      <c r="M532" s="81">
        <v>31</v>
      </c>
      <c r="N532" s="81">
        <v>34</v>
      </c>
      <c r="O532" s="85">
        <v>18</v>
      </c>
      <c r="P532" s="81">
        <f t="shared" si="47"/>
        <v>495</v>
      </c>
      <c r="Q532" s="67">
        <f t="shared" si="44"/>
        <v>6.3232119361802692E-3</v>
      </c>
      <c r="R532" s="10"/>
      <c r="S532"/>
      <c r="T532"/>
    </row>
    <row r="533" spans="2:20" ht="15.75" hidden="1" thickBot="1" x14ac:dyDescent="0.3">
      <c r="B533" s="87" t="str">
        <f t="shared" si="45"/>
        <v>ARL - COLMENA</v>
      </c>
      <c r="C533" s="120" t="s">
        <v>92</v>
      </c>
      <c r="D533" s="82">
        <v>31</v>
      </c>
      <c r="E533" s="82">
        <v>33</v>
      </c>
      <c r="F533" s="82">
        <v>37</v>
      </c>
      <c r="G533" s="86">
        <v>29</v>
      </c>
      <c r="H533" s="82">
        <v>40</v>
      </c>
      <c r="I533" s="82">
        <v>34</v>
      </c>
      <c r="J533" s="82">
        <v>48</v>
      </c>
      <c r="K533" s="82">
        <v>39</v>
      </c>
      <c r="L533" s="59">
        <v>46</v>
      </c>
      <c r="M533" s="81">
        <v>46</v>
      </c>
      <c r="N533" s="81">
        <v>42</v>
      </c>
      <c r="O533" s="85">
        <v>32</v>
      </c>
      <c r="P533" s="81">
        <f t="shared" si="47"/>
        <v>457</v>
      </c>
      <c r="Q533" s="67">
        <f t="shared" si="44"/>
        <v>5.837793646130067E-3</v>
      </c>
      <c r="R533" s="10"/>
      <c r="S533"/>
      <c r="T533"/>
    </row>
    <row r="534" spans="2:20" ht="15.75" hidden="1" thickBot="1" x14ac:dyDescent="0.3">
      <c r="B534" s="87" t="str">
        <f t="shared" si="45"/>
        <v>ARL - SEGUROS BOLÍVAR</v>
      </c>
      <c r="C534" s="120" t="s">
        <v>98</v>
      </c>
      <c r="D534" s="82">
        <v>23</v>
      </c>
      <c r="E534" s="82">
        <v>40</v>
      </c>
      <c r="F534" s="82">
        <v>30</v>
      </c>
      <c r="G534" s="86">
        <v>33</v>
      </c>
      <c r="H534" s="82">
        <v>31</v>
      </c>
      <c r="I534" s="82">
        <v>34</v>
      </c>
      <c r="J534" s="82">
        <v>29</v>
      </c>
      <c r="K534" s="82">
        <v>33</v>
      </c>
      <c r="L534" s="59">
        <v>44</v>
      </c>
      <c r="M534" s="81">
        <v>28</v>
      </c>
      <c r="N534" s="81">
        <v>38</v>
      </c>
      <c r="O534" s="85">
        <v>30</v>
      </c>
      <c r="P534" s="81">
        <f t="shared" si="47"/>
        <v>393</v>
      </c>
      <c r="Q534" s="67">
        <f t="shared" si="44"/>
        <v>5.0202470523613048E-3</v>
      </c>
      <c r="R534" s="10"/>
      <c r="S534"/>
      <c r="T534"/>
    </row>
    <row r="535" spans="2:20" ht="30.75" hidden="1" thickBot="1" x14ac:dyDescent="0.3">
      <c r="B535" s="87" t="str">
        <f t="shared" si="45"/>
        <v>SECRETARIA DE SALUD DE CUNDINAMARCA</v>
      </c>
      <c r="C535" s="120" t="s">
        <v>88</v>
      </c>
      <c r="D535" s="82">
        <v>35</v>
      </c>
      <c r="E535" s="82">
        <v>26</v>
      </c>
      <c r="F535" s="82">
        <v>21</v>
      </c>
      <c r="G535" s="86">
        <v>51</v>
      </c>
      <c r="H535" s="82">
        <v>73</v>
      </c>
      <c r="I535" s="82">
        <v>30</v>
      </c>
      <c r="J535" s="82">
        <v>34</v>
      </c>
      <c r="K535" s="82">
        <v>27</v>
      </c>
      <c r="L535" s="59">
        <v>26</v>
      </c>
      <c r="M535" s="81">
        <v>20</v>
      </c>
      <c r="N535" s="81">
        <v>21</v>
      </c>
      <c r="O535" s="85">
        <v>22</v>
      </c>
      <c r="P535" s="81">
        <f t="shared" si="47"/>
        <v>386</v>
      </c>
      <c r="Q535" s="67">
        <f t="shared" si="44"/>
        <v>4.9308278936678459E-3</v>
      </c>
      <c r="R535" s="10"/>
      <c r="S535"/>
      <c r="T535"/>
    </row>
    <row r="536" spans="2:20" ht="30.75" hidden="1" thickBot="1" x14ac:dyDescent="0.3">
      <c r="B536" s="87" t="str">
        <f t="shared" si="45"/>
        <v>SECCIONAL DE SALUD DISTRITAL - DISTRISALUD DEL ATLANTICO</v>
      </c>
      <c r="C536" s="120" t="s">
        <v>86</v>
      </c>
      <c r="D536" s="82">
        <v>16</v>
      </c>
      <c r="E536" s="82">
        <v>19</v>
      </c>
      <c r="F536" s="82">
        <v>44</v>
      </c>
      <c r="G536" s="86">
        <v>144</v>
      </c>
      <c r="H536" s="82">
        <v>50</v>
      </c>
      <c r="I536" s="82">
        <v>4</v>
      </c>
      <c r="J536" s="82">
        <v>21</v>
      </c>
      <c r="K536" s="82">
        <v>19</v>
      </c>
      <c r="L536" s="59">
        <v>13</v>
      </c>
      <c r="M536" s="81">
        <v>10</v>
      </c>
      <c r="N536" s="81">
        <v>11</v>
      </c>
      <c r="O536" s="85">
        <v>9</v>
      </c>
      <c r="P536" s="81">
        <f t="shared" si="47"/>
        <v>360</v>
      </c>
      <c r="Q536" s="67">
        <f t="shared" si="44"/>
        <v>4.5986995899492868E-3</v>
      </c>
      <c r="R536" s="10"/>
      <c r="S536"/>
      <c r="T536"/>
    </row>
    <row r="537" spans="2:20" ht="30.75" hidden="1" thickBot="1" x14ac:dyDescent="0.3">
      <c r="B537" s="87" t="str">
        <f t="shared" si="45"/>
        <v>SECRETARIA DEPARTAMENTAL DE SALUD DE SANTANDER</v>
      </c>
      <c r="C537" s="120" t="s">
        <v>87</v>
      </c>
      <c r="D537" s="82">
        <v>30</v>
      </c>
      <c r="E537" s="82">
        <v>17</v>
      </c>
      <c r="F537" s="82">
        <v>39</v>
      </c>
      <c r="G537" s="86">
        <v>20</v>
      </c>
      <c r="H537" s="82">
        <v>65</v>
      </c>
      <c r="I537" s="82">
        <v>27</v>
      </c>
      <c r="J537" s="82">
        <v>16</v>
      </c>
      <c r="K537" s="82">
        <v>25</v>
      </c>
      <c r="L537" s="59">
        <v>20</v>
      </c>
      <c r="M537" s="81">
        <v>27</v>
      </c>
      <c r="N537" s="81">
        <v>22</v>
      </c>
      <c r="O537" s="85">
        <v>23</v>
      </c>
      <c r="P537" s="81">
        <f t="shared" si="47"/>
        <v>331</v>
      </c>
      <c r="Q537" s="67">
        <f t="shared" si="44"/>
        <v>4.2282487896478163E-3</v>
      </c>
      <c r="R537" s="10"/>
      <c r="S537"/>
      <c r="T537"/>
    </row>
    <row r="538" spans="2:20" ht="30.75" hidden="1" thickBot="1" x14ac:dyDescent="0.3">
      <c r="B538" s="87" t="str">
        <f t="shared" si="45"/>
        <v>EMERMEDICA S.A. SERVICIOS DE AMBULANCIA PREPAGADOS</v>
      </c>
      <c r="C538" s="120" t="s">
        <v>90</v>
      </c>
      <c r="D538" s="82">
        <v>51</v>
      </c>
      <c r="E538" s="82">
        <v>22</v>
      </c>
      <c r="F538" s="82">
        <v>25</v>
      </c>
      <c r="G538" s="86">
        <v>21</v>
      </c>
      <c r="H538" s="82">
        <v>21</v>
      </c>
      <c r="I538" s="82">
        <v>32</v>
      </c>
      <c r="J538" s="82">
        <v>20</v>
      </c>
      <c r="K538" s="82">
        <v>14</v>
      </c>
      <c r="L538" s="59">
        <v>11</v>
      </c>
      <c r="M538" s="81">
        <v>16</v>
      </c>
      <c r="N538" s="81">
        <v>11</v>
      </c>
      <c r="O538" s="85">
        <v>13</v>
      </c>
      <c r="P538" s="81">
        <f t="shared" si="47"/>
        <v>257</v>
      </c>
      <c r="Q538" s="67">
        <f t="shared" si="44"/>
        <v>3.2829605406026851E-3</v>
      </c>
      <c r="R538" s="10"/>
      <c r="S538"/>
      <c r="T538"/>
    </row>
    <row r="539" spans="2:20" ht="15.75" hidden="1" thickBot="1" x14ac:dyDescent="0.3">
      <c r="B539" s="87" t="str">
        <f t="shared" si="45"/>
        <v>MEDPLUS MEDICINA PREPAGADA</v>
      </c>
      <c r="C539" s="120" t="s">
        <v>101</v>
      </c>
      <c r="D539" s="82">
        <v>29</v>
      </c>
      <c r="E539" s="82">
        <v>30</v>
      </c>
      <c r="F539" s="82">
        <v>26</v>
      </c>
      <c r="G539" s="86">
        <v>18</v>
      </c>
      <c r="H539" s="82">
        <v>22</v>
      </c>
      <c r="I539" s="82">
        <v>20</v>
      </c>
      <c r="J539" s="82">
        <v>27</v>
      </c>
      <c r="K539" s="82">
        <v>15</v>
      </c>
      <c r="L539" s="59">
        <v>29</v>
      </c>
      <c r="M539" s="81">
        <v>11</v>
      </c>
      <c r="N539" s="81">
        <v>14</v>
      </c>
      <c r="O539" s="85">
        <v>11</v>
      </c>
      <c r="P539" s="81">
        <f t="shared" si="47"/>
        <v>252</v>
      </c>
      <c r="Q539" s="67">
        <f t="shared" si="44"/>
        <v>3.2190897129645004E-3</v>
      </c>
      <c r="R539" s="10"/>
      <c r="S539"/>
      <c r="T539"/>
    </row>
    <row r="540" spans="2:20" ht="15.75" hidden="1" thickBot="1" x14ac:dyDescent="0.3">
      <c r="B540" s="87" t="str">
        <f t="shared" si="45"/>
        <v>FIDUPREVISORA – CONSORCIO PPL</v>
      </c>
      <c r="C540" s="120" t="s">
        <v>91</v>
      </c>
      <c r="D540" s="82">
        <v>15</v>
      </c>
      <c r="E540" s="82">
        <v>3</v>
      </c>
      <c r="F540" s="82">
        <v>71</v>
      </c>
      <c r="G540" s="86">
        <v>18</v>
      </c>
      <c r="H540" s="82">
        <v>16</v>
      </c>
      <c r="I540" s="82">
        <v>17</v>
      </c>
      <c r="J540" s="82">
        <v>20</v>
      </c>
      <c r="K540" s="82">
        <v>22</v>
      </c>
      <c r="L540" s="59">
        <v>13</v>
      </c>
      <c r="M540" s="81">
        <v>18</v>
      </c>
      <c r="N540" s="81">
        <v>14</v>
      </c>
      <c r="O540" s="85">
        <v>15</v>
      </c>
      <c r="P540" s="81">
        <f t="shared" si="47"/>
        <v>242</v>
      </c>
      <c r="Q540" s="67">
        <f t="shared" si="44"/>
        <v>3.0913480576881315E-3</v>
      </c>
      <c r="R540" s="10"/>
      <c r="S540"/>
      <c r="T540"/>
    </row>
    <row r="541" spans="2:20" ht="15.75" hidden="1" thickBot="1" x14ac:dyDescent="0.3">
      <c r="B541" s="87" t="str">
        <f t="shared" si="45"/>
        <v>ARL - SEGUROS DE VIDA LA EQUIDAD</v>
      </c>
      <c r="C541" s="120" t="s">
        <v>96</v>
      </c>
      <c r="D541" s="82">
        <v>8</v>
      </c>
      <c r="E541" s="82">
        <v>15</v>
      </c>
      <c r="F541" s="82">
        <v>9</v>
      </c>
      <c r="G541" s="86">
        <v>6</v>
      </c>
      <c r="H541" s="82">
        <v>9</v>
      </c>
      <c r="I541" s="82">
        <v>18</v>
      </c>
      <c r="J541" s="82">
        <v>22</v>
      </c>
      <c r="K541" s="82">
        <v>29</v>
      </c>
      <c r="L541" s="59">
        <v>24</v>
      </c>
      <c r="M541" s="81">
        <v>26</v>
      </c>
      <c r="N541" s="81">
        <v>45</v>
      </c>
      <c r="O541" s="85">
        <v>27</v>
      </c>
      <c r="P541" s="81">
        <f t="shared" si="47"/>
        <v>238</v>
      </c>
      <c r="Q541" s="67">
        <f t="shared" si="44"/>
        <v>3.040251395577584E-3</v>
      </c>
      <c r="R541" s="10"/>
      <c r="S541"/>
      <c r="T541"/>
    </row>
    <row r="542" spans="2:20" ht="30.75" hidden="1" thickBot="1" x14ac:dyDescent="0.3">
      <c r="B542" s="87" t="str">
        <f t="shared" si="45"/>
        <v>SECRETARIA DEPARTAMENTAL DE SALUD DEL META</v>
      </c>
      <c r="C542" s="120" t="s">
        <v>97</v>
      </c>
      <c r="D542" s="82">
        <v>15</v>
      </c>
      <c r="E542" s="82">
        <v>19</v>
      </c>
      <c r="F542" s="82">
        <v>20</v>
      </c>
      <c r="G542" s="86">
        <v>18</v>
      </c>
      <c r="H542" s="82">
        <v>16</v>
      </c>
      <c r="I542" s="82">
        <v>11</v>
      </c>
      <c r="J542" s="82">
        <v>27</v>
      </c>
      <c r="K542" s="82">
        <v>15</v>
      </c>
      <c r="L542" s="59">
        <v>23</v>
      </c>
      <c r="M542" s="81">
        <v>19</v>
      </c>
      <c r="N542" s="81">
        <v>27</v>
      </c>
      <c r="O542" s="85">
        <v>17</v>
      </c>
      <c r="P542" s="81">
        <f t="shared" si="47"/>
        <v>227</v>
      </c>
      <c r="Q542" s="67">
        <f t="shared" si="44"/>
        <v>2.8997355747735778E-3</v>
      </c>
      <c r="R542" s="10"/>
      <c r="S542"/>
      <c r="T542"/>
    </row>
    <row r="543" spans="2:20" ht="30.75" hidden="1" thickBot="1" x14ac:dyDescent="0.3">
      <c r="B543" s="87" t="str">
        <f t="shared" si="45"/>
        <v>COMPAÑIA DE MEDICINA PREPAGADA MEDISANITAS SA</v>
      </c>
      <c r="C543" s="120" t="s">
        <v>116</v>
      </c>
      <c r="D543" s="82">
        <v>21</v>
      </c>
      <c r="E543" s="82">
        <v>14</v>
      </c>
      <c r="F543" s="82">
        <v>15</v>
      </c>
      <c r="G543" s="86">
        <v>16</v>
      </c>
      <c r="H543" s="82">
        <v>11</v>
      </c>
      <c r="I543" s="82">
        <v>18</v>
      </c>
      <c r="J543" s="82">
        <v>20</v>
      </c>
      <c r="K543" s="82">
        <v>14</v>
      </c>
      <c r="L543" s="59">
        <v>17</v>
      </c>
      <c r="M543" s="81">
        <v>13</v>
      </c>
      <c r="N543" s="81">
        <v>20</v>
      </c>
      <c r="O543" s="85">
        <v>11</v>
      </c>
      <c r="P543" s="81">
        <f t="shared" si="47"/>
        <v>190</v>
      </c>
      <c r="Q543" s="67">
        <f t="shared" si="44"/>
        <v>2.4270914502510124E-3</v>
      </c>
      <c r="R543" s="10"/>
      <c r="S543"/>
      <c r="T543"/>
    </row>
    <row r="544" spans="2:20" ht="30.75" hidden="1" thickBot="1" x14ac:dyDescent="0.3">
      <c r="B544" s="87" t="str">
        <f t="shared" si="45"/>
        <v>AXA COLPATRIA MEDICINA PREPAGADA S.A.</v>
      </c>
      <c r="C544" s="120" t="s">
        <v>109</v>
      </c>
      <c r="D544" s="82">
        <v>18</v>
      </c>
      <c r="E544" s="82">
        <v>22</v>
      </c>
      <c r="F544" s="82">
        <v>7</v>
      </c>
      <c r="G544" s="86">
        <v>13</v>
      </c>
      <c r="H544" s="82">
        <v>17</v>
      </c>
      <c r="I544" s="82">
        <v>18</v>
      </c>
      <c r="J544" s="82">
        <v>15</v>
      </c>
      <c r="K544" s="82">
        <v>16</v>
      </c>
      <c r="L544" s="59">
        <v>6</v>
      </c>
      <c r="M544" s="81">
        <v>8</v>
      </c>
      <c r="N544" s="81">
        <v>10</v>
      </c>
      <c r="O544" s="85">
        <v>8</v>
      </c>
      <c r="P544" s="81">
        <f t="shared" si="47"/>
        <v>158</v>
      </c>
      <c r="Q544" s="67">
        <f t="shared" si="44"/>
        <v>2.0183181533666313E-3</v>
      </c>
      <c r="R544" s="10"/>
      <c r="S544"/>
      <c r="T544"/>
    </row>
    <row r="545" spans="2:20" ht="15.75" hidden="1" thickBot="1" x14ac:dyDescent="0.3">
      <c r="B545" s="87" t="str">
        <f t="shared" si="45"/>
        <v>SECCIONAL DE SALUD DEL ATLANTICO</v>
      </c>
      <c r="C545" s="120" t="s">
        <v>100</v>
      </c>
      <c r="D545" s="82">
        <v>13</v>
      </c>
      <c r="E545" s="82">
        <v>9</v>
      </c>
      <c r="F545" s="82">
        <v>19</v>
      </c>
      <c r="G545" s="86">
        <v>65</v>
      </c>
      <c r="H545" s="82">
        <v>15</v>
      </c>
      <c r="I545" s="82">
        <v>5</v>
      </c>
      <c r="J545" s="82">
        <v>7</v>
      </c>
      <c r="K545" s="82">
        <v>9</v>
      </c>
      <c r="L545" s="59">
        <v>2</v>
      </c>
      <c r="M545" s="81">
        <v>7</v>
      </c>
      <c r="N545" s="81">
        <v>1</v>
      </c>
      <c r="O545" s="85">
        <v>4</v>
      </c>
      <c r="P545" s="81">
        <f t="shared" si="47"/>
        <v>156</v>
      </c>
      <c r="Q545" s="67">
        <f t="shared" si="44"/>
        <v>1.9927698223113576E-3</v>
      </c>
      <c r="R545" s="10"/>
      <c r="S545"/>
      <c r="T545"/>
    </row>
    <row r="546" spans="2:20" ht="30.75" hidden="1" thickBot="1" x14ac:dyDescent="0.3">
      <c r="B546" s="87" t="str">
        <f t="shared" si="45"/>
        <v>SECRETARIA DEPARTAMENTAL DE SALUD DE RISARALDA</v>
      </c>
      <c r="C546" s="120" t="s">
        <v>105</v>
      </c>
      <c r="D546" s="82">
        <v>11</v>
      </c>
      <c r="E546" s="82">
        <v>22</v>
      </c>
      <c r="F546" s="82">
        <v>22</v>
      </c>
      <c r="G546" s="86">
        <v>8</v>
      </c>
      <c r="H546" s="82">
        <v>10</v>
      </c>
      <c r="I546" s="82">
        <v>8</v>
      </c>
      <c r="J546" s="82">
        <v>17</v>
      </c>
      <c r="K546" s="82">
        <v>14</v>
      </c>
      <c r="L546" s="59">
        <v>7</v>
      </c>
      <c r="M546" s="81">
        <v>10</v>
      </c>
      <c r="N546" s="81">
        <v>14</v>
      </c>
      <c r="O546" s="85">
        <v>10</v>
      </c>
      <c r="P546" s="81">
        <f t="shared" si="47"/>
        <v>153</v>
      </c>
      <c r="Q546" s="67">
        <f t="shared" si="44"/>
        <v>1.9544473257284466E-3</v>
      </c>
      <c r="R546" s="10"/>
      <c r="S546"/>
      <c r="T546"/>
    </row>
    <row r="547" spans="2:20" ht="30.75" hidden="1" thickBot="1" x14ac:dyDescent="0.3">
      <c r="B547" s="87" t="str">
        <f t="shared" si="45"/>
        <v>SECRETARIA DE SALUD DEPARTAMENTAL DE LA GUAJIRA</v>
      </c>
      <c r="C547" s="120" t="s">
        <v>99</v>
      </c>
      <c r="D547" s="82">
        <v>11</v>
      </c>
      <c r="E547" s="82">
        <v>19</v>
      </c>
      <c r="F547" s="82">
        <v>14</v>
      </c>
      <c r="G547" s="86">
        <v>10</v>
      </c>
      <c r="H547" s="82">
        <v>11</v>
      </c>
      <c r="I547" s="82">
        <v>11</v>
      </c>
      <c r="J547" s="82">
        <v>19</v>
      </c>
      <c r="K547" s="82">
        <v>11</v>
      </c>
      <c r="L547" s="59">
        <v>16</v>
      </c>
      <c r="M547" s="81">
        <v>9</v>
      </c>
      <c r="N547" s="81">
        <v>10</v>
      </c>
      <c r="O547" s="85">
        <v>8</v>
      </c>
      <c r="P547" s="81">
        <f t="shared" si="47"/>
        <v>149</v>
      </c>
      <c r="Q547" s="67">
        <f t="shared" si="44"/>
        <v>1.9033506636178992E-3</v>
      </c>
      <c r="R547" s="10"/>
      <c r="S547"/>
      <c r="T547"/>
    </row>
    <row r="548" spans="2:20" ht="30.75" hidden="1" thickBot="1" x14ac:dyDescent="0.3">
      <c r="B548" s="87" t="str">
        <f t="shared" si="45"/>
        <v>DIRECCION DEPARTAMENTAL DE SALUD DEL CAUCA</v>
      </c>
      <c r="C548" s="120" t="s">
        <v>108</v>
      </c>
      <c r="D548" s="82">
        <v>12</v>
      </c>
      <c r="E548" s="82">
        <v>8</v>
      </c>
      <c r="F548" s="82">
        <v>9</v>
      </c>
      <c r="G548" s="86">
        <v>19</v>
      </c>
      <c r="H548" s="82">
        <v>11</v>
      </c>
      <c r="I548" s="82">
        <v>11</v>
      </c>
      <c r="J548" s="82">
        <v>22</v>
      </c>
      <c r="K548" s="82">
        <v>10</v>
      </c>
      <c r="L548" s="59">
        <v>13</v>
      </c>
      <c r="M548" s="81">
        <v>15</v>
      </c>
      <c r="N548" s="81">
        <v>6</v>
      </c>
      <c r="O548" s="85">
        <v>12</v>
      </c>
      <c r="P548" s="81">
        <f t="shared" si="47"/>
        <v>148</v>
      </c>
      <c r="Q548" s="67">
        <f t="shared" si="44"/>
        <v>1.8905764980902623E-3</v>
      </c>
      <c r="R548" s="10"/>
      <c r="S548"/>
      <c r="T548"/>
    </row>
    <row r="549" spans="2:20" ht="30.75" hidden="1" thickBot="1" x14ac:dyDescent="0.3">
      <c r="B549" s="87" t="str">
        <f t="shared" si="45"/>
        <v>SECRETARIA DE SALUD DEPARTAMENTAL DEL HUILA</v>
      </c>
      <c r="C549" s="120" t="s">
        <v>104</v>
      </c>
      <c r="D549" s="82">
        <v>20</v>
      </c>
      <c r="E549" s="82">
        <v>10</v>
      </c>
      <c r="F549" s="82">
        <v>13</v>
      </c>
      <c r="G549" s="86">
        <v>10</v>
      </c>
      <c r="H549" s="82">
        <v>13</v>
      </c>
      <c r="I549" s="82">
        <v>17</v>
      </c>
      <c r="J549" s="82">
        <v>7</v>
      </c>
      <c r="K549" s="82">
        <v>20</v>
      </c>
      <c r="L549" s="59">
        <v>5</v>
      </c>
      <c r="M549" s="81">
        <v>10</v>
      </c>
      <c r="N549" s="81">
        <v>7</v>
      </c>
      <c r="O549" s="85">
        <v>14</v>
      </c>
      <c r="P549" s="81">
        <f t="shared" si="47"/>
        <v>146</v>
      </c>
      <c r="Q549" s="67">
        <f t="shared" si="44"/>
        <v>1.8650281670349884E-3</v>
      </c>
      <c r="R549" s="10"/>
      <c r="S549"/>
      <c r="T549"/>
    </row>
    <row r="550" spans="2:20" ht="30.75" hidden="1" thickBot="1" x14ac:dyDescent="0.3">
      <c r="B550" s="87" t="str">
        <f t="shared" si="45"/>
        <v>UNIDAD ADMINISTRATIVA ESPECIAL DE SALUD ARAUCA</v>
      </c>
      <c r="C550" s="120" t="s">
        <v>107</v>
      </c>
      <c r="D550" s="82">
        <v>13</v>
      </c>
      <c r="E550" s="82">
        <v>3</v>
      </c>
      <c r="F550" s="82">
        <v>13</v>
      </c>
      <c r="G550" s="86">
        <v>9</v>
      </c>
      <c r="H550" s="82">
        <v>18</v>
      </c>
      <c r="I550" s="82">
        <v>20</v>
      </c>
      <c r="J550" s="82">
        <v>14</v>
      </c>
      <c r="K550" s="82">
        <v>13</v>
      </c>
      <c r="L550" s="59">
        <v>5</v>
      </c>
      <c r="M550" s="81">
        <v>11</v>
      </c>
      <c r="N550" s="81">
        <v>13</v>
      </c>
      <c r="O550" s="85">
        <v>8</v>
      </c>
      <c r="P550" s="81">
        <f t="shared" si="47"/>
        <v>140</v>
      </c>
      <c r="Q550" s="67">
        <f t="shared" si="44"/>
        <v>1.7883831738691671E-3</v>
      </c>
      <c r="R550" s="10"/>
      <c r="S550"/>
      <c r="T550"/>
    </row>
    <row r="551" spans="2:20" ht="30.75" hidden="1" thickBot="1" x14ac:dyDescent="0.3">
      <c r="B551" s="87" t="str">
        <f t="shared" si="45"/>
        <v>SECRETARIA DEPARTAMENTAL DE SALUD DEL TOLIMA</v>
      </c>
      <c r="C551" s="120" t="s">
        <v>93</v>
      </c>
      <c r="D551" s="82">
        <v>16</v>
      </c>
      <c r="E551" s="82">
        <v>10</v>
      </c>
      <c r="F551" s="82">
        <v>10</v>
      </c>
      <c r="G551" s="86">
        <v>11</v>
      </c>
      <c r="H551" s="82">
        <v>20</v>
      </c>
      <c r="I551" s="82">
        <v>12</v>
      </c>
      <c r="J551" s="82">
        <v>11</v>
      </c>
      <c r="K551" s="82">
        <v>8</v>
      </c>
      <c r="L551" s="59">
        <v>10</v>
      </c>
      <c r="M551" s="81">
        <v>9</v>
      </c>
      <c r="N551" s="81">
        <v>12</v>
      </c>
      <c r="O551" s="85">
        <v>6</v>
      </c>
      <c r="P551" s="81">
        <f t="shared" si="47"/>
        <v>135</v>
      </c>
      <c r="Q551" s="67">
        <f t="shared" ref="Q551:Q582" si="48">P551/$P$607</f>
        <v>1.7245123462309826E-3</v>
      </c>
      <c r="R551" s="10"/>
      <c r="S551"/>
      <c r="T551"/>
    </row>
    <row r="552" spans="2:20" ht="30.75" hidden="1" thickBot="1" x14ac:dyDescent="0.3">
      <c r="B552" s="87" t="str">
        <f t="shared" si="45"/>
        <v>SECRETARIA DE SALUD DEPARTAMENTAL DEL CESAR</v>
      </c>
      <c r="C552" s="120" t="s">
        <v>111</v>
      </c>
      <c r="D552" s="82">
        <v>7</v>
      </c>
      <c r="E552" s="82">
        <v>11</v>
      </c>
      <c r="F552" s="82">
        <v>23</v>
      </c>
      <c r="G552" s="86">
        <v>18</v>
      </c>
      <c r="H552" s="82">
        <v>10</v>
      </c>
      <c r="I552" s="82">
        <v>10</v>
      </c>
      <c r="J552" s="82">
        <v>6</v>
      </c>
      <c r="K552" s="82">
        <v>17</v>
      </c>
      <c r="L552" s="59">
        <v>9</v>
      </c>
      <c r="M552" s="81">
        <v>8</v>
      </c>
      <c r="N552" s="81">
        <v>2</v>
      </c>
      <c r="O552" s="85">
        <v>8</v>
      </c>
      <c r="P552" s="81">
        <f t="shared" si="47"/>
        <v>129</v>
      </c>
      <c r="Q552" s="67">
        <f t="shared" si="48"/>
        <v>1.647867353065161E-3</v>
      </c>
      <c r="R552" s="10"/>
      <c r="S552"/>
      <c r="T552"/>
    </row>
    <row r="553" spans="2:20" ht="30.75" hidden="1" thickBot="1" x14ac:dyDescent="0.3">
      <c r="B553" s="87" t="str">
        <f t="shared" si="45"/>
        <v>COMPAÑIA SURAMERICANA DE SERVICIOS DE SALUD S. A.</v>
      </c>
      <c r="C553" s="120" t="s">
        <v>739</v>
      </c>
      <c r="D553" s="82">
        <v>6</v>
      </c>
      <c r="E553" s="82">
        <v>9</v>
      </c>
      <c r="F553" s="82">
        <v>9</v>
      </c>
      <c r="G553" s="86">
        <v>13</v>
      </c>
      <c r="H553" s="82">
        <v>7</v>
      </c>
      <c r="I553" s="82">
        <v>7</v>
      </c>
      <c r="J553" s="82">
        <v>10</v>
      </c>
      <c r="K553" s="82">
        <v>15</v>
      </c>
      <c r="L553" s="59">
        <v>9</v>
      </c>
      <c r="M553" s="81">
        <v>14</v>
      </c>
      <c r="N553" s="81">
        <v>11</v>
      </c>
      <c r="O553" s="85">
        <v>15</v>
      </c>
      <c r="P553" s="81">
        <f t="shared" si="47"/>
        <v>125</v>
      </c>
      <c r="Q553" s="67">
        <f t="shared" si="48"/>
        <v>1.5967706909546134E-3</v>
      </c>
      <c r="R553" s="10"/>
      <c r="S553"/>
      <c r="T553"/>
    </row>
    <row r="554" spans="2:20" ht="15.75" hidden="1" thickBot="1" x14ac:dyDescent="0.3">
      <c r="B554" s="87" t="str">
        <f t="shared" si="45"/>
        <v>ECOPETROL</v>
      </c>
      <c r="C554" s="120" t="s">
        <v>120</v>
      </c>
      <c r="D554" s="82">
        <v>11</v>
      </c>
      <c r="E554" s="82">
        <v>5</v>
      </c>
      <c r="F554" s="82">
        <v>9</v>
      </c>
      <c r="G554" s="86">
        <v>9</v>
      </c>
      <c r="H554" s="82">
        <v>10</v>
      </c>
      <c r="I554" s="82">
        <v>12</v>
      </c>
      <c r="J554" s="82">
        <v>10</v>
      </c>
      <c r="K554" s="82">
        <v>10</v>
      </c>
      <c r="L554" s="59">
        <v>9</v>
      </c>
      <c r="M554" s="81">
        <v>9</v>
      </c>
      <c r="N554" s="81">
        <v>6</v>
      </c>
      <c r="O554" s="85">
        <v>10</v>
      </c>
      <c r="P554" s="81">
        <f t="shared" si="47"/>
        <v>110</v>
      </c>
      <c r="Q554" s="67">
        <f t="shared" si="48"/>
        <v>1.4051582080400599E-3</v>
      </c>
      <c r="R554" s="10"/>
      <c r="S554"/>
      <c r="T554"/>
    </row>
    <row r="555" spans="2:20" ht="15.75" hidden="1" thickBot="1" x14ac:dyDescent="0.3">
      <c r="B555" s="87" t="str">
        <f t="shared" si="45"/>
        <v>UNIVERSIDAD NACIONAL DE COLOMBIA</v>
      </c>
      <c r="C555" s="120" t="s">
        <v>127</v>
      </c>
      <c r="D555" s="82">
        <v>11</v>
      </c>
      <c r="E555" s="82">
        <v>15</v>
      </c>
      <c r="F555" s="82">
        <v>12</v>
      </c>
      <c r="G555" s="86">
        <v>16</v>
      </c>
      <c r="H555" s="82">
        <v>13</v>
      </c>
      <c r="I555" s="82">
        <v>3</v>
      </c>
      <c r="J555" s="82">
        <v>6</v>
      </c>
      <c r="K555" s="82">
        <v>8</v>
      </c>
      <c r="L555" s="59">
        <v>9</v>
      </c>
      <c r="M555" s="81">
        <v>6</v>
      </c>
      <c r="N555" s="81">
        <v>3</v>
      </c>
      <c r="O555" s="85">
        <v>6</v>
      </c>
      <c r="P555" s="81">
        <f t="shared" si="47"/>
        <v>108</v>
      </c>
      <c r="Q555" s="67">
        <f t="shared" si="48"/>
        <v>1.379609876984786E-3</v>
      </c>
      <c r="R555" s="10"/>
      <c r="S555"/>
      <c r="T555"/>
    </row>
    <row r="556" spans="2:20" ht="30.75" hidden="1" thickBot="1" x14ac:dyDescent="0.3">
      <c r="B556" s="87" t="str">
        <f t="shared" si="45"/>
        <v>DIRECCION TERRITORIAL DE SALUD DE CALDAS</v>
      </c>
      <c r="C556" s="120" t="s">
        <v>110</v>
      </c>
      <c r="D556" s="82">
        <v>8</v>
      </c>
      <c r="E556" s="82">
        <v>2</v>
      </c>
      <c r="F556" s="82">
        <v>6</v>
      </c>
      <c r="G556" s="86">
        <v>9</v>
      </c>
      <c r="H556" s="82">
        <v>10</v>
      </c>
      <c r="I556" s="82">
        <v>9</v>
      </c>
      <c r="J556" s="82">
        <v>11</v>
      </c>
      <c r="K556" s="82">
        <v>19</v>
      </c>
      <c r="L556" s="59">
        <v>10</v>
      </c>
      <c r="M556" s="81">
        <v>6</v>
      </c>
      <c r="N556" s="81">
        <v>9</v>
      </c>
      <c r="O556" s="85">
        <v>7</v>
      </c>
      <c r="P556" s="81">
        <f t="shared" si="47"/>
        <v>106</v>
      </c>
      <c r="Q556" s="67">
        <f t="shared" si="48"/>
        <v>1.3540615459295123E-3</v>
      </c>
      <c r="R556" s="10"/>
      <c r="S556"/>
      <c r="T556"/>
    </row>
    <row r="557" spans="2:20" ht="30.75" hidden="1" thickBot="1" x14ac:dyDescent="0.3">
      <c r="B557" s="87" t="str">
        <f t="shared" si="45"/>
        <v>INSTITUTO SECCIONAL DE SALUD DEL QUINDIO</v>
      </c>
      <c r="C557" s="120" t="s">
        <v>112</v>
      </c>
      <c r="D557" s="82">
        <v>11</v>
      </c>
      <c r="E557" s="82">
        <v>2</v>
      </c>
      <c r="F557" s="82">
        <v>6</v>
      </c>
      <c r="G557" s="86">
        <v>15</v>
      </c>
      <c r="H557" s="82">
        <v>10</v>
      </c>
      <c r="I557" s="82">
        <v>4</v>
      </c>
      <c r="J557" s="82">
        <v>7</v>
      </c>
      <c r="K557" s="82">
        <v>8</v>
      </c>
      <c r="L557" s="59">
        <v>5</v>
      </c>
      <c r="M557" s="81">
        <v>7</v>
      </c>
      <c r="N557" s="81">
        <v>11</v>
      </c>
      <c r="O557" s="85">
        <v>9</v>
      </c>
      <c r="P557" s="81">
        <f t="shared" si="47"/>
        <v>95</v>
      </c>
      <c r="Q557" s="67">
        <f t="shared" si="48"/>
        <v>1.2135457251255062E-3</v>
      </c>
      <c r="R557" s="10"/>
      <c r="S557"/>
      <c r="T557"/>
    </row>
    <row r="558" spans="2:20" ht="30.75" hidden="1" thickBot="1" x14ac:dyDescent="0.3">
      <c r="B558" s="87" t="str">
        <f t="shared" si="45"/>
        <v>SECRETARIA DEPARTAMENTAL. DE SALUD DEL CASANARE</v>
      </c>
      <c r="C558" s="120" t="s">
        <v>119</v>
      </c>
      <c r="D558" s="82">
        <v>6</v>
      </c>
      <c r="E558" s="82">
        <v>6</v>
      </c>
      <c r="F558" s="82">
        <v>12</v>
      </c>
      <c r="G558" s="86">
        <v>10</v>
      </c>
      <c r="H558" s="82">
        <v>14</v>
      </c>
      <c r="I558" s="82">
        <v>6</v>
      </c>
      <c r="J558" s="82">
        <v>5</v>
      </c>
      <c r="K558" s="82">
        <v>2</v>
      </c>
      <c r="L558" s="59">
        <v>5</v>
      </c>
      <c r="M558" s="81">
        <v>2</v>
      </c>
      <c r="N558" s="81">
        <v>10</v>
      </c>
      <c r="O558" s="85">
        <v>6</v>
      </c>
      <c r="P558" s="81">
        <f t="shared" si="47"/>
        <v>84</v>
      </c>
      <c r="Q558" s="67">
        <f t="shared" si="48"/>
        <v>1.0730299043215001E-3</v>
      </c>
      <c r="R558" s="10"/>
      <c r="S558"/>
      <c r="T558"/>
    </row>
    <row r="559" spans="2:20" ht="30.75" hidden="1" thickBot="1" x14ac:dyDescent="0.3">
      <c r="B559" s="87" t="str">
        <f t="shared" si="45"/>
        <v>INSTITUTO SECCIONAL DE SALUD DE BOYACA</v>
      </c>
      <c r="C559" s="120" t="s">
        <v>106</v>
      </c>
      <c r="D559" s="82">
        <v>7</v>
      </c>
      <c r="E559" s="82">
        <v>6</v>
      </c>
      <c r="F559" s="82">
        <v>6</v>
      </c>
      <c r="G559" s="86">
        <v>10</v>
      </c>
      <c r="H559" s="82">
        <v>5</v>
      </c>
      <c r="I559" s="82">
        <v>9</v>
      </c>
      <c r="J559" s="82">
        <v>4</v>
      </c>
      <c r="K559" s="82">
        <v>6</v>
      </c>
      <c r="L559" s="59">
        <v>4</v>
      </c>
      <c r="M559" s="81">
        <v>6</v>
      </c>
      <c r="N559" s="81">
        <v>8</v>
      </c>
      <c r="O559" s="85">
        <v>11</v>
      </c>
      <c r="P559" s="81">
        <f t="shared" si="47"/>
        <v>82</v>
      </c>
      <c r="Q559" s="67">
        <f t="shared" si="48"/>
        <v>1.0474815732662264E-3</v>
      </c>
      <c r="R559" s="10"/>
      <c r="S559"/>
      <c r="T559"/>
    </row>
    <row r="560" spans="2:20" ht="30.75" hidden="1" thickBot="1" x14ac:dyDescent="0.3">
      <c r="B560" s="87" t="str">
        <f t="shared" si="45"/>
        <v>DEPARTAMENTO ADMINISTRATIVO DE SEGURIDAD SOCIAL EN SALUD DE SUCRE</v>
      </c>
      <c r="C560" s="120" t="s">
        <v>115</v>
      </c>
      <c r="D560" s="82">
        <v>5</v>
      </c>
      <c r="E560" s="82">
        <v>5</v>
      </c>
      <c r="F560" s="82">
        <v>8</v>
      </c>
      <c r="G560" s="86">
        <v>6</v>
      </c>
      <c r="H560" s="82">
        <v>10</v>
      </c>
      <c r="I560" s="82">
        <v>12</v>
      </c>
      <c r="J560" s="82">
        <v>9</v>
      </c>
      <c r="K560" s="82">
        <v>10</v>
      </c>
      <c r="L560" s="59">
        <v>8</v>
      </c>
      <c r="M560" s="81">
        <v>3</v>
      </c>
      <c r="N560" s="81">
        <v>2</v>
      </c>
      <c r="O560" s="85">
        <v>3</v>
      </c>
      <c r="P560" s="81">
        <f t="shared" si="47"/>
        <v>81</v>
      </c>
      <c r="Q560" s="67">
        <f t="shared" si="48"/>
        <v>1.0347074077385896E-3</v>
      </c>
      <c r="R560" s="10"/>
      <c r="S560"/>
      <c r="T560"/>
    </row>
    <row r="561" spans="2:20" ht="30.75" hidden="1" thickBot="1" x14ac:dyDescent="0.3">
      <c r="B561" s="87" t="str">
        <f t="shared" si="45"/>
        <v>SECRETARIA DE DESARROLLO DE LA SALUD DE CORDOBA</v>
      </c>
      <c r="C561" s="120" t="s">
        <v>114</v>
      </c>
      <c r="D561" s="82">
        <v>3</v>
      </c>
      <c r="E561" s="82">
        <v>12</v>
      </c>
      <c r="F561" s="82">
        <v>12</v>
      </c>
      <c r="G561" s="86">
        <v>12</v>
      </c>
      <c r="H561" s="82">
        <v>11</v>
      </c>
      <c r="I561" s="82">
        <v>5</v>
      </c>
      <c r="J561" s="82">
        <v>6</v>
      </c>
      <c r="K561" s="82">
        <v>7</v>
      </c>
      <c r="L561" s="59">
        <v>4</v>
      </c>
      <c r="M561" s="81">
        <v>1</v>
      </c>
      <c r="N561" s="81">
        <v>2</v>
      </c>
      <c r="O561" s="85">
        <v>5</v>
      </c>
      <c r="P561" s="81">
        <f t="shared" si="47"/>
        <v>80</v>
      </c>
      <c r="Q561" s="67">
        <f t="shared" si="48"/>
        <v>1.0219332422109525E-3</v>
      </c>
      <c r="R561" s="10"/>
      <c r="S561"/>
      <c r="T561"/>
    </row>
    <row r="562" spans="2:20" ht="15.75" hidden="1" thickBot="1" x14ac:dyDescent="0.3">
      <c r="B562" s="87" t="str">
        <f t="shared" si="45"/>
        <v>UNIVERSIDAD DE ANTIOQUIA</v>
      </c>
      <c r="C562" s="120" t="s">
        <v>122</v>
      </c>
      <c r="D562" s="82">
        <v>4</v>
      </c>
      <c r="E562" s="82">
        <v>5</v>
      </c>
      <c r="F562" s="82">
        <v>8</v>
      </c>
      <c r="G562" s="86">
        <v>3</v>
      </c>
      <c r="H562" s="82">
        <v>1</v>
      </c>
      <c r="I562" s="82">
        <v>5</v>
      </c>
      <c r="J562" s="82">
        <v>5</v>
      </c>
      <c r="K562" s="82">
        <v>9</v>
      </c>
      <c r="L562" s="59">
        <v>8</v>
      </c>
      <c r="M562" s="81">
        <v>8</v>
      </c>
      <c r="N562" s="81">
        <v>9</v>
      </c>
      <c r="O562" s="85">
        <v>11</v>
      </c>
      <c r="P562" s="81">
        <f t="shared" si="47"/>
        <v>76</v>
      </c>
      <c r="Q562" s="67">
        <f t="shared" si="48"/>
        <v>9.7083658010040498E-4</v>
      </c>
      <c r="R562" s="10"/>
      <c r="S562"/>
      <c r="T562"/>
    </row>
    <row r="563" spans="2:20" ht="15.75" hidden="1" thickBot="1" x14ac:dyDescent="0.3">
      <c r="B563" s="87" t="str">
        <f t="shared" si="45"/>
        <v>SURAMERICANA DE SEGUROS S.A.</v>
      </c>
      <c r="C563" s="120" t="s">
        <v>117</v>
      </c>
      <c r="D563" s="82">
        <v>4</v>
      </c>
      <c r="E563" s="82">
        <v>1</v>
      </c>
      <c r="F563" s="82">
        <v>7</v>
      </c>
      <c r="G563" s="86">
        <v>6</v>
      </c>
      <c r="H563" s="82">
        <v>4</v>
      </c>
      <c r="I563" s="82">
        <v>11</v>
      </c>
      <c r="J563" s="82">
        <v>5</v>
      </c>
      <c r="K563" s="82">
        <v>11</v>
      </c>
      <c r="L563" s="59">
        <v>6</v>
      </c>
      <c r="M563" s="81">
        <v>2</v>
      </c>
      <c r="N563" s="81">
        <v>6</v>
      </c>
      <c r="O563" s="85">
        <v>3</v>
      </c>
      <c r="P563" s="81">
        <f t="shared" si="47"/>
        <v>66</v>
      </c>
      <c r="Q563" s="67">
        <f t="shared" si="48"/>
        <v>8.4309492482403589E-4</v>
      </c>
      <c r="R563" s="10"/>
      <c r="S563"/>
      <c r="T563"/>
    </row>
    <row r="564" spans="2:20" ht="30.75" hidden="1" thickBot="1" x14ac:dyDescent="0.3">
      <c r="B564" s="87" t="str">
        <f t="shared" si="45"/>
        <v>SECRETARIA  DE SALUD DISTRITAL DE SANTA MARTA</v>
      </c>
      <c r="C564" s="120" t="s">
        <v>131</v>
      </c>
      <c r="D564" s="82">
        <v>4</v>
      </c>
      <c r="E564" s="82">
        <v>4</v>
      </c>
      <c r="F564" s="82">
        <v>7</v>
      </c>
      <c r="G564" s="86">
        <v>17</v>
      </c>
      <c r="H564" s="82">
        <v>11</v>
      </c>
      <c r="I564" s="82">
        <v>1</v>
      </c>
      <c r="J564" s="82">
        <v>1</v>
      </c>
      <c r="K564" s="82">
        <v>7</v>
      </c>
      <c r="L564" s="59">
        <v>3</v>
      </c>
      <c r="M564" s="81">
        <v>3</v>
      </c>
      <c r="N564" s="81">
        <v>2</v>
      </c>
      <c r="O564" s="85">
        <v>5</v>
      </c>
      <c r="P564" s="81">
        <f t="shared" si="47"/>
        <v>65</v>
      </c>
      <c r="Q564" s="67">
        <f t="shared" si="48"/>
        <v>8.3032075929639893E-4</v>
      </c>
      <c r="R564" s="10"/>
      <c r="S564"/>
      <c r="T564"/>
    </row>
    <row r="565" spans="2:20" ht="30.75" hidden="1" thickBot="1" x14ac:dyDescent="0.3">
      <c r="B565" s="87" t="str">
        <f t="shared" si="45"/>
        <v>EMPRESAS PÚBLICAS DE MEDELLÍN DEPARTAMENTO MÉDICO</v>
      </c>
      <c r="C565" s="120" t="s">
        <v>137</v>
      </c>
      <c r="D565" s="82">
        <v>6</v>
      </c>
      <c r="E565" s="82">
        <v>4</v>
      </c>
      <c r="F565" s="82">
        <v>6</v>
      </c>
      <c r="G565" s="86">
        <v>8</v>
      </c>
      <c r="H565" s="82">
        <v>7</v>
      </c>
      <c r="I565" s="82">
        <v>3</v>
      </c>
      <c r="J565" s="82">
        <v>3</v>
      </c>
      <c r="K565" s="82">
        <v>4</v>
      </c>
      <c r="L565" s="59">
        <v>5</v>
      </c>
      <c r="M565" s="81">
        <v>4</v>
      </c>
      <c r="N565" s="81">
        <v>5</v>
      </c>
      <c r="O565" s="85">
        <v>5</v>
      </c>
      <c r="P565" s="81">
        <f t="shared" si="47"/>
        <v>60</v>
      </c>
      <c r="Q565" s="67">
        <f t="shared" si="48"/>
        <v>7.6644993165821444E-4</v>
      </c>
      <c r="R565" s="10"/>
      <c r="S565"/>
      <c r="T565"/>
    </row>
    <row r="566" spans="2:20" ht="30.75" hidden="1" thickBot="1" x14ac:dyDescent="0.3">
      <c r="B566" s="87" t="str">
        <f t="shared" si="45"/>
        <v>INSTITUTO DEPARTAMENTAL DE SALUD DEL CAQUETA</v>
      </c>
      <c r="C566" s="120" t="s">
        <v>126</v>
      </c>
      <c r="D566" s="82">
        <v>2</v>
      </c>
      <c r="E566" s="82">
        <v>4</v>
      </c>
      <c r="F566" s="82">
        <v>11</v>
      </c>
      <c r="G566" s="86">
        <v>8</v>
      </c>
      <c r="H566" s="82">
        <v>5</v>
      </c>
      <c r="I566" s="82">
        <v>3</v>
      </c>
      <c r="J566" s="82">
        <v>2</v>
      </c>
      <c r="K566" s="82">
        <v>2</v>
      </c>
      <c r="L566" s="59">
        <v>4</v>
      </c>
      <c r="M566" s="81">
        <v>5</v>
      </c>
      <c r="N566" s="81">
        <v>11</v>
      </c>
      <c r="O566" s="85">
        <v>2</v>
      </c>
      <c r="P566" s="81">
        <f t="shared" si="47"/>
        <v>59</v>
      </c>
      <c r="Q566" s="67">
        <f t="shared" si="48"/>
        <v>7.5367576613057747E-4</v>
      </c>
      <c r="R566" s="10"/>
      <c r="S566"/>
      <c r="T566"/>
    </row>
    <row r="567" spans="2:20" ht="45.75" hidden="1" thickBot="1" x14ac:dyDescent="0.3">
      <c r="B567" s="87" t="str">
        <f t="shared" si="45"/>
        <v>EMPRESA DE MEDICINA INTEGRAL EMI S.A. SERVICIO DE AMBULANCIA PREPAGADA</v>
      </c>
      <c r="C567" s="120" t="s">
        <v>121</v>
      </c>
      <c r="D567" s="82">
        <v>14</v>
      </c>
      <c r="E567" s="82">
        <v>6</v>
      </c>
      <c r="F567" s="82">
        <v>2</v>
      </c>
      <c r="G567" s="86">
        <v>5</v>
      </c>
      <c r="H567" s="82">
        <v>2</v>
      </c>
      <c r="I567" s="82">
        <v>7</v>
      </c>
      <c r="J567" s="82">
        <v>3</v>
      </c>
      <c r="K567" s="82">
        <v>2</v>
      </c>
      <c r="L567" s="59">
        <v>5</v>
      </c>
      <c r="M567" s="81">
        <v>2</v>
      </c>
      <c r="N567" s="81">
        <v>4</v>
      </c>
      <c r="O567" s="85">
        <v>2</v>
      </c>
      <c r="P567" s="81">
        <f t="shared" si="47"/>
        <v>54</v>
      </c>
      <c r="Q567" s="67">
        <f t="shared" si="48"/>
        <v>6.8980493849239298E-4</v>
      </c>
      <c r="R567" s="10"/>
      <c r="S567"/>
      <c r="T567"/>
    </row>
    <row r="568" spans="2:20" ht="30.75" hidden="1" thickBot="1" x14ac:dyDescent="0.3">
      <c r="B568" s="87" t="str">
        <f t="shared" si="45"/>
        <v>DEPARTAMENTO ADMINISTRATIVO DE SALUD DEL CHOCO - DASALUD</v>
      </c>
      <c r="C568" s="120" t="s">
        <v>125</v>
      </c>
      <c r="D568" s="82">
        <v>4</v>
      </c>
      <c r="E568" s="82"/>
      <c r="F568" s="82">
        <v>14</v>
      </c>
      <c r="G568" s="86">
        <v>3</v>
      </c>
      <c r="H568" s="82">
        <v>10</v>
      </c>
      <c r="I568" s="82">
        <v>1</v>
      </c>
      <c r="J568" s="82">
        <v>2</v>
      </c>
      <c r="K568" s="82">
        <v>2</v>
      </c>
      <c r="L568" s="59"/>
      <c r="M568" s="81">
        <v>3</v>
      </c>
      <c r="N568" s="81">
        <v>4</v>
      </c>
      <c r="O568" s="85">
        <v>6</v>
      </c>
      <c r="P568" s="81">
        <f t="shared" si="47"/>
        <v>49</v>
      </c>
      <c r="Q568" s="67">
        <f t="shared" si="48"/>
        <v>6.2593411085420849E-4</v>
      </c>
      <c r="R568" s="10"/>
      <c r="S568"/>
      <c r="T568"/>
    </row>
    <row r="569" spans="2:20" ht="30.75" hidden="1" thickBot="1" x14ac:dyDescent="0.3">
      <c r="B569" s="87" t="str">
        <f t="shared" si="45"/>
        <v>INSTITUTO DEPARTAMENTAL DE SALUD DE NARIÑO</v>
      </c>
      <c r="C569" s="120" t="s">
        <v>103</v>
      </c>
      <c r="D569" s="82">
        <v>1</v>
      </c>
      <c r="E569" s="82">
        <v>8</v>
      </c>
      <c r="F569" s="82">
        <v>4</v>
      </c>
      <c r="G569" s="86">
        <v>5</v>
      </c>
      <c r="H569" s="82">
        <v>1</v>
      </c>
      <c r="I569" s="82">
        <v>5</v>
      </c>
      <c r="J569" s="82">
        <v>3</v>
      </c>
      <c r="K569" s="82">
        <v>2</v>
      </c>
      <c r="L569" s="59">
        <v>8</v>
      </c>
      <c r="M569" s="81">
        <v>1</v>
      </c>
      <c r="N569" s="81">
        <v>5</v>
      </c>
      <c r="O569" s="85">
        <v>4</v>
      </c>
      <c r="P569" s="81">
        <f t="shared" si="47"/>
        <v>47</v>
      </c>
      <c r="Q569" s="67">
        <f t="shared" si="48"/>
        <v>6.0038577979893467E-4</v>
      </c>
      <c r="R569" s="10"/>
      <c r="S569"/>
      <c r="T569"/>
    </row>
    <row r="570" spans="2:20" ht="45.75" hidden="1" thickBot="1" x14ac:dyDescent="0.3">
      <c r="B570" s="87" t="str">
        <f t="shared" si="45"/>
        <v>DEPARTAMENTO ADMINISTRATIVO DISTRITAL DE SALUD DE CARTAGENA - DADIS</v>
      </c>
      <c r="C570" s="120" t="s">
        <v>132</v>
      </c>
      <c r="D570" s="82">
        <v>6</v>
      </c>
      <c r="E570" s="82">
        <v>4</v>
      </c>
      <c r="F570" s="82"/>
      <c r="G570" s="86">
        <v>3</v>
      </c>
      <c r="H570" s="82">
        <v>12</v>
      </c>
      <c r="I570" s="82">
        <v>3</v>
      </c>
      <c r="J570" s="82">
        <v>3</v>
      </c>
      <c r="K570" s="82">
        <v>2</v>
      </c>
      <c r="L570" s="59">
        <v>7</v>
      </c>
      <c r="M570" s="81">
        <v>3</v>
      </c>
      <c r="N570" s="81"/>
      <c r="O570" s="85">
        <v>3</v>
      </c>
      <c r="P570" s="81">
        <f t="shared" si="47"/>
        <v>46</v>
      </c>
      <c r="Q570" s="67">
        <f t="shared" si="48"/>
        <v>5.8761161427129771E-4</v>
      </c>
      <c r="R570" s="10"/>
      <c r="S570"/>
      <c r="T570"/>
    </row>
    <row r="571" spans="2:20" ht="15.75" hidden="1" thickBot="1" x14ac:dyDescent="0.3">
      <c r="B571" s="87" t="str">
        <f t="shared" si="45"/>
        <v>SECCIONAL DE SALUD DE BOLIVAR</v>
      </c>
      <c r="C571" s="120" t="s">
        <v>95</v>
      </c>
      <c r="D571" s="82">
        <v>6</v>
      </c>
      <c r="E571" s="82">
        <v>5</v>
      </c>
      <c r="F571" s="82">
        <v>6</v>
      </c>
      <c r="G571" s="86">
        <v>7</v>
      </c>
      <c r="H571" s="82">
        <v>2</v>
      </c>
      <c r="I571" s="82">
        <v>3</v>
      </c>
      <c r="J571" s="82">
        <v>3</v>
      </c>
      <c r="K571" s="82">
        <v>7</v>
      </c>
      <c r="L571" s="59">
        <v>2</v>
      </c>
      <c r="M571" s="81">
        <v>3</v>
      </c>
      <c r="N571" s="81"/>
      <c r="O571" s="85">
        <v>1</v>
      </c>
      <c r="P571" s="81">
        <f t="shared" si="47"/>
        <v>45</v>
      </c>
      <c r="Q571" s="67">
        <f t="shared" si="48"/>
        <v>5.7483744874366085E-4</v>
      </c>
      <c r="R571" s="10"/>
      <c r="S571"/>
      <c r="T571"/>
    </row>
    <row r="572" spans="2:20" ht="15.75" hidden="1" thickBot="1" x14ac:dyDescent="0.3">
      <c r="B572" s="87" t="str">
        <f t="shared" si="45"/>
        <v>ALLIANZ SEGUROS S.A</v>
      </c>
      <c r="C572" s="120" t="s">
        <v>134</v>
      </c>
      <c r="D572" s="82">
        <v>7</v>
      </c>
      <c r="E572" s="82">
        <v>2</v>
      </c>
      <c r="F572" s="82">
        <v>4</v>
      </c>
      <c r="G572" s="86">
        <v>5</v>
      </c>
      <c r="H572" s="82">
        <v>3</v>
      </c>
      <c r="I572" s="82">
        <v>4</v>
      </c>
      <c r="J572" s="82">
        <v>6</v>
      </c>
      <c r="K572" s="82">
        <v>5</v>
      </c>
      <c r="L572" s="59">
        <v>4</v>
      </c>
      <c r="M572" s="81"/>
      <c r="N572" s="81">
        <v>3</v>
      </c>
      <c r="O572" s="85">
        <v>2</v>
      </c>
      <c r="P572" s="81">
        <f t="shared" si="47"/>
        <v>45</v>
      </c>
      <c r="Q572" s="67">
        <f t="shared" si="48"/>
        <v>5.7483744874366085E-4</v>
      </c>
      <c r="R572" s="10"/>
      <c r="S572"/>
      <c r="T572"/>
    </row>
    <row r="573" spans="2:20" ht="15.75" hidden="1" thickBot="1" x14ac:dyDescent="0.3">
      <c r="B573" s="87" t="str">
        <f t="shared" si="45"/>
        <v>SECRETARIA DE SALUD DEL MAGDALENA</v>
      </c>
      <c r="C573" s="120" t="s">
        <v>113</v>
      </c>
      <c r="D573" s="82">
        <v>1</v>
      </c>
      <c r="E573" s="82">
        <v>1</v>
      </c>
      <c r="F573" s="82">
        <v>7</v>
      </c>
      <c r="G573" s="86">
        <v>11</v>
      </c>
      <c r="H573" s="82">
        <v>4</v>
      </c>
      <c r="I573" s="82">
        <v>3</v>
      </c>
      <c r="J573" s="82">
        <v>4</v>
      </c>
      <c r="K573" s="82">
        <v>5</v>
      </c>
      <c r="L573" s="59">
        <v>1</v>
      </c>
      <c r="M573" s="81">
        <v>1</v>
      </c>
      <c r="N573" s="81">
        <v>5</v>
      </c>
      <c r="O573" s="85"/>
      <c r="P573" s="81">
        <f t="shared" si="47"/>
        <v>43</v>
      </c>
      <c r="Q573" s="67">
        <f t="shared" si="48"/>
        <v>5.4928911768838704E-4</v>
      </c>
      <c r="R573" s="10"/>
      <c r="S573"/>
      <c r="T573"/>
    </row>
    <row r="574" spans="2:20" ht="30.75" hidden="1" thickBot="1" x14ac:dyDescent="0.3">
      <c r="B574" s="87" t="str">
        <f t="shared" si="45"/>
        <v>SECRETARIA DEPARTAMENTAL DE SALUD DEL PUTUMAYO</v>
      </c>
      <c r="C574" s="120" t="s">
        <v>128</v>
      </c>
      <c r="D574" s="82">
        <v>1</v>
      </c>
      <c r="E574" s="82">
        <v>1</v>
      </c>
      <c r="F574" s="82">
        <v>4</v>
      </c>
      <c r="G574" s="86">
        <v>6</v>
      </c>
      <c r="H574" s="82">
        <v>7</v>
      </c>
      <c r="I574" s="82">
        <v>3</v>
      </c>
      <c r="J574" s="82">
        <v>4</v>
      </c>
      <c r="K574" s="82">
        <v>2</v>
      </c>
      <c r="L574" s="59">
        <v>2</v>
      </c>
      <c r="M574" s="81"/>
      <c r="N574" s="81">
        <v>3</v>
      </c>
      <c r="O574" s="85"/>
      <c r="P574" s="81">
        <f t="shared" si="47"/>
        <v>33</v>
      </c>
      <c r="Q574" s="67">
        <f t="shared" si="48"/>
        <v>4.2154746241201795E-4</v>
      </c>
      <c r="R574" s="10"/>
      <c r="S574"/>
      <c r="T574"/>
    </row>
    <row r="575" spans="2:20" ht="15.75" hidden="1" thickBot="1" x14ac:dyDescent="0.3">
      <c r="B575" s="87" t="str">
        <f t="shared" si="45"/>
        <v>SEGUROS DEL ESTADO S.A.</v>
      </c>
      <c r="C575" s="120" t="s">
        <v>118</v>
      </c>
      <c r="D575" s="82">
        <v>5</v>
      </c>
      <c r="E575" s="82">
        <v>2</v>
      </c>
      <c r="F575" s="82">
        <v>2</v>
      </c>
      <c r="G575" s="86">
        <v>1</v>
      </c>
      <c r="H575" s="82">
        <v>4</v>
      </c>
      <c r="I575" s="82">
        <v>4</v>
      </c>
      <c r="J575" s="82">
        <v>5</v>
      </c>
      <c r="K575" s="82">
        <v>1</v>
      </c>
      <c r="L575" s="59">
        <v>1</v>
      </c>
      <c r="M575" s="81"/>
      <c r="N575" s="81">
        <v>3</v>
      </c>
      <c r="O575" s="85">
        <v>2</v>
      </c>
      <c r="P575" s="81">
        <f t="shared" si="47"/>
        <v>30</v>
      </c>
      <c r="Q575" s="67">
        <f t="shared" si="48"/>
        <v>3.8322496582910722E-4</v>
      </c>
      <c r="R575" s="10"/>
      <c r="S575"/>
      <c r="T575"/>
    </row>
    <row r="576" spans="2:20" ht="15.75" hidden="1" thickBot="1" x14ac:dyDescent="0.3">
      <c r="B576" s="87" t="str">
        <f t="shared" si="45"/>
        <v>UNIVERSIDAD DEL VALLE</v>
      </c>
      <c r="C576" s="120" t="s">
        <v>147</v>
      </c>
      <c r="D576" s="82">
        <v>2</v>
      </c>
      <c r="E576" s="82">
        <v>3</v>
      </c>
      <c r="F576" s="82">
        <v>2</v>
      </c>
      <c r="G576" s="86">
        <v>2</v>
      </c>
      <c r="H576" s="82"/>
      <c r="I576" s="82">
        <v>1</v>
      </c>
      <c r="J576" s="82">
        <v>2</v>
      </c>
      <c r="K576" s="82">
        <v>2</v>
      </c>
      <c r="L576" s="59">
        <v>3</v>
      </c>
      <c r="M576" s="81">
        <v>3</v>
      </c>
      <c r="N576" s="81">
        <v>2</v>
      </c>
      <c r="O576" s="85">
        <v>3</v>
      </c>
      <c r="P576" s="81">
        <f t="shared" si="47"/>
        <v>25</v>
      </c>
      <c r="Q576" s="67">
        <f t="shared" si="48"/>
        <v>3.1935413819092267E-4</v>
      </c>
      <c r="R576" s="10"/>
      <c r="S576"/>
      <c r="T576"/>
    </row>
    <row r="577" spans="2:20" ht="15.75" hidden="1" thickBot="1" x14ac:dyDescent="0.3">
      <c r="B577" s="87" t="str">
        <f t="shared" si="45"/>
        <v>UNIVERSIDAD DE CARTAGENA</v>
      </c>
      <c r="C577" s="120" t="s">
        <v>135</v>
      </c>
      <c r="D577" s="82"/>
      <c r="E577" s="82">
        <v>7</v>
      </c>
      <c r="F577" s="82">
        <v>1</v>
      </c>
      <c r="G577" s="86">
        <v>3</v>
      </c>
      <c r="H577" s="82">
        <v>1</v>
      </c>
      <c r="I577" s="82">
        <v>3</v>
      </c>
      <c r="J577" s="82">
        <v>1</v>
      </c>
      <c r="K577" s="82">
        <v>2</v>
      </c>
      <c r="L577" s="59"/>
      <c r="M577" s="81">
        <v>1</v>
      </c>
      <c r="N577" s="81"/>
      <c r="O577" s="85">
        <v>2</v>
      </c>
      <c r="P577" s="81">
        <f t="shared" si="47"/>
        <v>21</v>
      </c>
      <c r="Q577" s="67">
        <f t="shared" si="48"/>
        <v>2.6825747608037504E-4</v>
      </c>
      <c r="R577" s="10"/>
      <c r="S577"/>
      <c r="T577"/>
    </row>
    <row r="578" spans="2:20" ht="15.75" hidden="1" thickBot="1" x14ac:dyDescent="0.3">
      <c r="B578" s="87" t="str">
        <f t="shared" si="45"/>
        <v>UNIVERSIDAD DEL ATLANTICO</v>
      </c>
      <c r="C578" s="120" t="s">
        <v>139</v>
      </c>
      <c r="D578" s="82">
        <v>1</v>
      </c>
      <c r="E578" s="82">
        <v>3</v>
      </c>
      <c r="F578" s="82">
        <v>5</v>
      </c>
      <c r="G578" s="86">
        <v>2</v>
      </c>
      <c r="H578" s="82">
        <v>1</v>
      </c>
      <c r="I578" s="82">
        <v>1</v>
      </c>
      <c r="J578" s="82">
        <v>1</v>
      </c>
      <c r="K578" s="82">
        <v>2</v>
      </c>
      <c r="L578" s="59"/>
      <c r="M578" s="81">
        <v>1</v>
      </c>
      <c r="N578" s="81">
        <v>2</v>
      </c>
      <c r="O578" s="85">
        <v>1</v>
      </c>
      <c r="P578" s="81">
        <f t="shared" si="47"/>
        <v>20</v>
      </c>
      <c r="Q578" s="67">
        <f t="shared" si="48"/>
        <v>2.5548331055273813E-4</v>
      </c>
      <c r="R578" s="10"/>
      <c r="S578"/>
      <c r="T578"/>
    </row>
    <row r="579" spans="2:20" ht="30.75" hidden="1" thickBot="1" x14ac:dyDescent="0.3">
      <c r="B579" s="87" t="str">
        <f t="shared" si="45"/>
        <v>SECRETARIA DEPARTAMENTAL DE SALUD DEL GUAVIARE</v>
      </c>
      <c r="C579" s="120" t="s">
        <v>124</v>
      </c>
      <c r="D579" s="82">
        <v>4</v>
      </c>
      <c r="E579" s="82">
        <v>1</v>
      </c>
      <c r="F579" s="82">
        <v>2</v>
      </c>
      <c r="G579" s="86">
        <v>2</v>
      </c>
      <c r="H579" s="82">
        <v>2</v>
      </c>
      <c r="I579" s="82"/>
      <c r="J579" s="82"/>
      <c r="K579" s="82"/>
      <c r="L579" s="59">
        <v>1</v>
      </c>
      <c r="M579" s="81">
        <v>2</v>
      </c>
      <c r="N579" s="81"/>
      <c r="O579" s="85">
        <v>6</v>
      </c>
      <c r="P579" s="81">
        <f t="shared" si="47"/>
        <v>20</v>
      </c>
      <c r="Q579" s="67">
        <f t="shared" si="48"/>
        <v>2.5548331055273813E-4</v>
      </c>
      <c r="R579" s="10"/>
      <c r="S579"/>
      <c r="T579"/>
    </row>
    <row r="580" spans="2:20" ht="15.75" hidden="1" thickBot="1" x14ac:dyDescent="0.3">
      <c r="B580" s="87" t="str">
        <f t="shared" si="45"/>
        <v>ARL - SEGUROS DE VIDA ALFA</v>
      </c>
      <c r="C580" s="120" t="s">
        <v>140</v>
      </c>
      <c r="D580" s="82">
        <v>1</v>
      </c>
      <c r="E580" s="82">
        <v>1</v>
      </c>
      <c r="F580" s="82">
        <v>2</v>
      </c>
      <c r="G580" s="86">
        <v>4</v>
      </c>
      <c r="H580" s="82">
        <v>1</v>
      </c>
      <c r="I580" s="82">
        <v>1</v>
      </c>
      <c r="J580" s="82">
        <v>1</v>
      </c>
      <c r="K580" s="82">
        <v>2</v>
      </c>
      <c r="L580" s="59">
        <v>2</v>
      </c>
      <c r="M580" s="81">
        <v>2</v>
      </c>
      <c r="N580" s="81">
        <v>2</v>
      </c>
      <c r="O580" s="85"/>
      <c r="P580" s="81">
        <f t="shared" si="47"/>
        <v>19</v>
      </c>
      <c r="Q580" s="67">
        <f t="shared" si="48"/>
        <v>2.4270914502510125E-4</v>
      </c>
      <c r="R580" s="10"/>
      <c r="S580"/>
      <c r="T580"/>
    </row>
    <row r="581" spans="2:20" ht="30.75" hidden="1" thickBot="1" x14ac:dyDescent="0.3">
      <c r="B581" s="87" t="str">
        <f t="shared" si="45"/>
        <v>SECRETARIA DEPARTAMENTAL DE SALUD DEL AMAZONAS</v>
      </c>
      <c r="C581" s="120" t="s">
        <v>141</v>
      </c>
      <c r="D581" s="82">
        <v>5</v>
      </c>
      <c r="E581" s="82">
        <v>3</v>
      </c>
      <c r="F581" s="82">
        <v>4</v>
      </c>
      <c r="G581" s="86">
        <v>4</v>
      </c>
      <c r="H581" s="82">
        <v>1</v>
      </c>
      <c r="I581" s="82"/>
      <c r="J581" s="82"/>
      <c r="K581" s="82">
        <v>1</v>
      </c>
      <c r="L581" s="59"/>
      <c r="M581" s="81"/>
      <c r="N581" s="81"/>
      <c r="O581" s="85"/>
      <c r="P581" s="81">
        <f t="shared" si="47"/>
        <v>18</v>
      </c>
      <c r="Q581" s="67">
        <f t="shared" si="48"/>
        <v>2.2993497949746434E-4</v>
      </c>
      <c r="R581" s="10"/>
      <c r="S581"/>
      <c r="T581"/>
    </row>
    <row r="582" spans="2:20" ht="15.75" hidden="1" thickBot="1" x14ac:dyDescent="0.3">
      <c r="B582" s="87" t="str">
        <f t="shared" si="45"/>
        <v>ARL - SEGUROS DE VIDA MAPFRE</v>
      </c>
      <c r="C582" s="120" t="s">
        <v>130</v>
      </c>
      <c r="D582" s="82">
        <v>1</v>
      </c>
      <c r="E582" s="82">
        <v>1</v>
      </c>
      <c r="F582" s="82"/>
      <c r="G582" s="86"/>
      <c r="H582" s="82">
        <v>1</v>
      </c>
      <c r="I582" s="82">
        <v>2</v>
      </c>
      <c r="J582" s="82">
        <v>1</v>
      </c>
      <c r="K582" s="82">
        <v>4</v>
      </c>
      <c r="L582" s="59">
        <v>1</v>
      </c>
      <c r="M582" s="81">
        <v>3</v>
      </c>
      <c r="N582" s="81"/>
      <c r="O582" s="85">
        <v>4</v>
      </c>
      <c r="P582" s="81">
        <f t="shared" si="47"/>
        <v>18</v>
      </c>
      <c r="Q582" s="67">
        <f t="shared" si="48"/>
        <v>2.2993497949746434E-4</v>
      </c>
      <c r="R582" s="10"/>
      <c r="S582"/>
      <c r="T582"/>
    </row>
    <row r="583" spans="2:20" ht="15.75" hidden="1" thickBot="1" x14ac:dyDescent="0.3">
      <c r="B583" s="87" t="str">
        <f t="shared" si="45"/>
        <v>MUNDIAL DE SEGUROS S.A.</v>
      </c>
      <c r="C583" s="120" t="s">
        <v>129</v>
      </c>
      <c r="D583" s="82">
        <v>1</v>
      </c>
      <c r="E583" s="82">
        <v>1</v>
      </c>
      <c r="F583" s="82">
        <v>5</v>
      </c>
      <c r="G583" s="86"/>
      <c r="H583" s="82">
        <v>4</v>
      </c>
      <c r="I583" s="82">
        <v>6</v>
      </c>
      <c r="J583" s="82"/>
      <c r="K583" s="82">
        <v>1</v>
      </c>
      <c r="L583" s="59"/>
      <c r="M583" s="81"/>
      <c r="N583" s="81"/>
      <c r="O583" s="85"/>
      <c r="P583" s="81">
        <f t="shared" ref="P583:P591" si="49">SUM(D583:O583)</f>
        <v>18</v>
      </c>
      <c r="Q583" s="67">
        <f t="shared" ref="Q583:Q598" si="50">P583/$P$607</f>
        <v>2.2993497949746434E-4</v>
      </c>
      <c r="R583" s="10"/>
      <c r="S583"/>
      <c r="T583"/>
    </row>
    <row r="584" spans="2:20" ht="30.75" hidden="1" thickBot="1" x14ac:dyDescent="0.3">
      <c r="B584" s="87" t="str">
        <f t="shared" ref="B584:B600" si="51">+C584</f>
        <v>ASISTENCIA MEDICA INMEDIATA SAP S A</v>
      </c>
      <c r="C584" s="120" t="s">
        <v>143</v>
      </c>
      <c r="D584" s="82">
        <v>1</v>
      </c>
      <c r="E584" s="82">
        <v>1</v>
      </c>
      <c r="F584" s="82"/>
      <c r="G584" s="86">
        <v>2</v>
      </c>
      <c r="H584" s="82"/>
      <c r="I584" s="82">
        <v>1</v>
      </c>
      <c r="J584" s="82">
        <v>4</v>
      </c>
      <c r="K584" s="82"/>
      <c r="L584" s="59">
        <v>3</v>
      </c>
      <c r="M584" s="81">
        <v>2</v>
      </c>
      <c r="N584" s="81"/>
      <c r="O584" s="85">
        <v>2</v>
      </c>
      <c r="P584" s="81">
        <f t="shared" si="49"/>
        <v>16</v>
      </c>
      <c r="Q584" s="67">
        <f t="shared" si="50"/>
        <v>2.0438664844219052E-4</v>
      </c>
      <c r="R584" s="10"/>
      <c r="S584"/>
      <c r="T584"/>
    </row>
    <row r="585" spans="2:20" ht="15.75" hidden="1" thickBot="1" x14ac:dyDescent="0.3">
      <c r="B585" s="87" t="str">
        <f t="shared" si="51"/>
        <v>UNIVERSIDAD DEL CAUCA</v>
      </c>
      <c r="C585" s="120" t="s">
        <v>756</v>
      </c>
      <c r="D585" s="82"/>
      <c r="E585" s="82">
        <v>3</v>
      </c>
      <c r="F585" s="82"/>
      <c r="G585" s="86"/>
      <c r="H585" s="82">
        <v>1</v>
      </c>
      <c r="I585" s="82"/>
      <c r="J585" s="82">
        <v>2</v>
      </c>
      <c r="K585" s="82">
        <v>2</v>
      </c>
      <c r="L585" s="59">
        <v>4</v>
      </c>
      <c r="M585" s="81">
        <v>2</v>
      </c>
      <c r="N585" s="81"/>
      <c r="O585" s="85">
        <v>1</v>
      </c>
      <c r="P585" s="81">
        <f t="shared" si="49"/>
        <v>15</v>
      </c>
      <c r="Q585" s="67">
        <f t="shared" si="50"/>
        <v>1.9161248291455361E-4</v>
      </c>
      <c r="R585" s="10"/>
      <c r="S585"/>
      <c r="T585"/>
    </row>
    <row r="586" spans="2:20" ht="15.75" hidden="1" thickBot="1" x14ac:dyDescent="0.3">
      <c r="B586" s="87" t="str">
        <f t="shared" si="51"/>
        <v>SEGUROS COMERCIALES BOLIVAR S.A.</v>
      </c>
      <c r="C586" s="120" t="s">
        <v>146</v>
      </c>
      <c r="D586" s="82">
        <v>1</v>
      </c>
      <c r="E586" s="82"/>
      <c r="F586" s="82"/>
      <c r="G586" s="86">
        <v>1</v>
      </c>
      <c r="H586" s="82">
        <v>1</v>
      </c>
      <c r="I586" s="82">
        <v>4</v>
      </c>
      <c r="J586" s="82">
        <v>3</v>
      </c>
      <c r="K586" s="82">
        <v>1</v>
      </c>
      <c r="L586" s="59">
        <v>1</v>
      </c>
      <c r="M586" s="81"/>
      <c r="N586" s="81">
        <v>3</v>
      </c>
      <c r="O586" s="85"/>
      <c r="P586" s="81">
        <f t="shared" si="49"/>
        <v>15</v>
      </c>
      <c r="Q586" s="67">
        <f t="shared" si="50"/>
        <v>1.9161248291455361E-4</v>
      </c>
      <c r="R586" s="10"/>
      <c r="S586"/>
      <c r="T586"/>
    </row>
    <row r="587" spans="2:20" ht="15.75" hidden="1" thickBot="1" x14ac:dyDescent="0.3">
      <c r="B587" s="87" t="str">
        <f t="shared" si="51"/>
        <v>SEGUROS COLPATRIA S.A.</v>
      </c>
      <c r="C587" s="120" t="s">
        <v>133</v>
      </c>
      <c r="D587" s="82">
        <v>3</v>
      </c>
      <c r="E587" s="82">
        <v>1</v>
      </c>
      <c r="F587" s="82">
        <v>1</v>
      </c>
      <c r="G587" s="86">
        <v>2</v>
      </c>
      <c r="H587" s="82">
        <v>2</v>
      </c>
      <c r="I587" s="82">
        <v>1</v>
      </c>
      <c r="J587" s="82"/>
      <c r="K587" s="82">
        <v>2</v>
      </c>
      <c r="L587" s="59"/>
      <c r="M587" s="81"/>
      <c r="N587" s="81">
        <v>1</v>
      </c>
      <c r="O587" s="85"/>
      <c r="P587" s="81">
        <f t="shared" si="49"/>
        <v>13</v>
      </c>
      <c r="Q587" s="67">
        <f t="shared" si="50"/>
        <v>1.6606415185927979E-4</v>
      </c>
      <c r="R587" s="10"/>
      <c r="S587"/>
      <c r="T587"/>
    </row>
    <row r="588" spans="2:20" ht="15.75" hidden="1" thickBot="1" x14ac:dyDescent="0.3">
      <c r="B588" s="87" t="str">
        <f t="shared" si="51"/>
        <v>SECRETARIA DE SALUD DEL GUAINIA</v>
      </c>
      <c r="C588" s="120" t="s">
        <v>136</v>
      </c>
      <c r="D588" s="82">
        <v>2</v>
      </c>
      <c r="E588" s="82"/>
      <c r="F588" s="82">
        <v>2</v>
      </c>
      <c r="G588" s="86">
        <v>2</v>
      </c>
      <c r="H588" s="82">
        <v>2</v>
      </c>
      <c r="I588" s="82"/>
      <c r="J588" s="82"/>
      <c r="K588" s="82">
        <v>1</v>
      </c>
      <c r="L588" s="59">
        <v>2</v>
      </c>
      <c r="M588" s="81"/>
      <c r="N588" s="81">
        <v>2</v>
      </c>
      <c r="O588" s="85"/>
      <c r="P588" s="81">
        <f t="shared" si="49"/>
        <v>13</v>
      </c>
      <c r="Q588" s="67">
        <f t="shared" si="50"/>
        <v>1.6606415185927979E-4</v>
      </c>
      <c r="R588" s="10"/>
      <c r="S588"/>
      <c r="T588"/>
    </row>
    <row r="589" spans="2:20" ht="15.75" hidden="1" thickBot="1" x14ac:dyDescent="0.3">
      <c r="B589" s="87" t="str">
        <f t="shared" si="51"/>
        <v>LIBERTY SEGUROS S.A.</v>
      </c>
      <c r="C589" s="120" t="s">
        <v>138</v>
      </c>
      <c r="D589" s="82">
        <v>4</v>
      </c>
      <c r="E589" s="82"/>
      <c r="F589" s="82"/>
      <c r="G589" s="86"/>
      <c r="H589" s="82"/>
      <c r="I589" s="82">
        <v>2</v>
      </c>
      <c r="J589" s="82"/>
      <c r="K589" s="82">
        <v>1</v>
      </c>
      <c r="L589" s="59"/>
      <c r="M589" s="81"/>
      <c r="N589" s="81">
        <v>1</v>
      </c>
      <c r="O589" s="85">
        <v>1</v>
      </c>
      <c r="P589" s="81">
        <f t="shared" si="49"/>
        <v>9</v>
      </c>
      <c r="Q589" s="67">
        <f t="shared" si="50"/>
        <v>1.1496748974873217E-4</v>
      </c>
      <c r="R589" s="10"/>
      <c r="S589"/>
      <c r="T589"/>
    </row>
    <row r="590" spans="2:20" ht="60.75" hidden="1" thickBot="1" x14ac:dyDescent="0.3">
      <c r="B590" s="87" t="str">
        <f t="shared" si="51"/>
        <v>SECRETARIA DE SALUD DEL DEPARTAMENTAL ARCHIPIELAGO DE SAN ANDRES PROVIDENCIA Y SANTA CATALINA</v>
      </c>
      <c r="C590" s="120" t="s">
        <v>144</v>
      </c>
      <c r="D590" s="82">
        <v>1</v>
      </c>
      <c r="E590" s="82">
        <v>1</v>
      </c>
      <c r="F590" s="82"/>
      <c r="G590" s="86"/>
      <c r="H590" s="82">
        <v>2</v>
      </c>
      <c r="I590" s="82"/>
      <c r="J590" s="82">
        <v>1</v>
      </c>
      <c r="K590" s="82">
        <v>3</v>
      </c>
      <c r="L590" s="59">
        <v>1</v>
      </c>
      <c r="M590" s="81"/>
      <c r="N590" s="81"/>
      <c r="O590" s="85"/>
      <c r="P590" s="81">
        <f t="shared" si="49"/>
        <v>9</v>
      </c>
      <c r="Q590" s="67">
        <f t="shared" si="50"/>
        <v>1.1496748974873217E-4</v>
      </c>
      <c r="R590" s="10"/>
      <c r="S590"/>
      <c r="T590"/>
    </row>
    <row r="591" spans="2:20" ht="15.75" hidden="1" thickBot="1" x14ac:dyDescent="0.3">
      <c r="B591" s="87" t="str">
        <f t="shared" si="51"/>
        <v>LA PREVISORA CIA DE SEGUROS S.A.</v>
      </c>
      <c r="C591" s="120" t="s">
        <v>793</v>
      </c>
      <c r="D591" s="82"/>
      <c r="E591" s="82"/>
      <c r="F591" s="82"/>
      <c r="G591" s="86"/>
      <c r="H591" s="82"/>
      <c r="I591" s="82">
        <v>1</v>
      </c>
      <c r="J591" s="82">
        <v>1</v>
      </c>
      <c r="K591" s="82">
        <v>2</v>
      </c>
      <c r="L591" s="59"/>
      <c r="M591" s="81">
        <v>1</v>
      </c>
      <c r="N591" s="81">
        <v>2</v>
      </c>
      <c r="O591" s="85">
        <v>2</v>
      </c>
      <c r="P591" s="81">
        <f t="shared" si="49"/>
        <v>9</v>
      </c>
      <c r="Q591" s="67">
        <f t="shared" si="50"/>
        <v>1.1496748974873217E-4</v>
      </c>
      <c r="R591" s="10"/>
      <c r="S591"/>
      <c r="T591"/>
    </row>
    <row r="592" spans="2:20" ht="30.75" hidden="1" thickBot="1" x14ac:dyDescent="0.3">
      <c r="B592" s="87" t="str">
        <f t="shared" si="51"/>
        <v>ASISTENCIA MEDICA DE EMERGENCIA LIMITADA</v>
      </c>
      <c r="C592" s="120" t="s">
        <v>149</v>
      </c>
      <c r="D592" s="82">
        <v>2</v>
      </c>
      <c r="E592" s="82">
        <v>1</v>
      </c>
      <c r="F592" s="82"/>
      <c r="G592" s="86"/>
      <c r="H592" s="82"/>
      <c r="I592" s="82">
        <v>1</v>
      </c>
      <c r="J592" s="82">
        <v>1</v>
      </c>
      <c r="K592" s="82"/>
      <c r="L592" s="59"/>
      <c r="M592" s="81"/>
      <c r="N592" s="81">
        <v>2</v>
      </c>
      <c r="O592" s="85">
        <v>1</v>
      </c>
      <c r="P592" s="81">
        <f t="shared" ref="P592:P595" si="52">SUM(D592:O592)</f>
        <v>8</v>
      </c>
      <c r="Q592" s="67">
        <f t="shared" si="50"/>
        <v>1.0219332422109526E-4</v>
      </c>
      <c r="R592" s="10"/>
      <c r="S592"/>
      <c r="T592"/>
    </row>
    <row r="593" spans="1:20" ht="30.75" hidden="1" thickBot="1" x14ac:dyDescent="0.3">
      <c r="B593" s="87" t="str">
        <f t="shared" si="51"/>
        <v>ASEGURADORA SOLIDARIA DE COLOMBIA LTDA.</v>
      </c>
      <c r="C593" s="120" t="s">
        <v>771</v>
      </c>
      <c r="D593" s="82"/>
      <c r="E593" s="82"/>
      <c r="F593" s="82">
        <v>3</v>
      </c>
      <c r="G593" s="86"/>
      <c r="H593" s="82">
        <v>1</v>
      </c>
      <c r="I593" s="82"/>
      <c r="J593" s="82"/>
      <c r="K593" s="82">
        <v>1</v>
      </c>
      <c r="L593" s="59">
        <v>1</v>
      </c>
      <c r="M593" s="81"/>
      <c r="N593" s="81"/>
      <c r="O593" s="85">
        <v>1</v>
      </c>
      <c r="P593" s="81">
        <f t="shared" si="52"/>
        <v>7</v>
      </c>
      <c r="Q593" s="67">
        <f t="shared" si="50"/>
        <v>8.941915869345835E-5</v>
      </c>
      <c r="R593" s="10"/>
      <c r="S593"/>
      <c r="T593"/>
    </row>
    <row r="594" spans="1:20" ht="30.75" hidden="1" thickBot="1" x14ac:dyDescent="0.3">
      <c r="B594" s="87" t="str">
        <f t="shared" si="51"/>
        <v>SECRETARIA DEPARTAMENTAL DE SALUD DEL VICHADA</v>
      </c>
      <c r="C594" s="120" t="s">
        <v>142</v>
      </c>
      <c r="D594" s="82"/>
      <c r="E594" s="82">
        <v>1</v>
      </c>
      <c r="F594" s="82"/>
      <c r="G594" s="86"/>
      <c r="H594" s="82"/>
      <c r="I594" s="82">
        <v>1</v>
      </c>
      <c r="J594" s="82">
        <v>1</v>
      </c>
      <c r="K594" s="82"/>
      <c r="L594" s="59"/>
      <c r="M594" s="81">
        <v>1</v>
      </c>
      <c r="N594" s="81">
        <v>1</v>
      </c>
      <c r="O594" s="85">
        <v>2</v>
      </c>
      <c r="P594" s="81">
        <f t="shared" si="52"/>
        <v>7</v>
      </c>
      <c r="Q594" s="67">
        <f t="shared" si="50"/>
        <v>8.941915869345835E-5</v>
      </c>
      <c r="R594" s="10"/>
      <c r="S594"/>
      <c r="T594"/>
    </row>
    <row r="595" spans="1:20" ht="30.75" hidden="1" thickBot="1" x14ac:dyDescent="0.3">
      <c r="B595" s="87" t="str">
        <f t="shared" si="51"/>
        <v>PLAN U.H.C.M. MEDICINA PREPAGADA COMFENALCO VALLE</v>
      </c>
      <c r="C595" s="120" t="s">
        <v>148</v>
      </c>
      <c r="D595" s="82">
        <v>1</v>
      </c>
      <c r="E595" s="82"/>
      <c r="F595" s="82">
        <v>1</v>
      </c>
      <c r="G595" s="86"/>
      <c r="H595" s="82"/>
      <c r="I595" s="82"/>
      <c r="J595" s="82"/>
      <c r="K595" s="82">
        <v>1</v>
      </c>
      <c r="L595" s="59"/>
      <c r="M595" s="81">
        <v>1</v>
      </c>
      <c r="N595" s="81">
        <v>1</v>
      </c>
      <c r="O595" s="85">
        <v>1</v>
      </c>
      <c r="P595" s="81">
        <f t="shared" si="52"/>
        <v>6</v>
      </c>
      <c r="Q595" s="67">
        <f t="shared" si="50"/>
        <v>7.6644993165821441E-5</v>
      </c>
      <c r="R595" s="10"/>
      <c r="S595"/>
      <c r="T595"/>
    </row>
    <row r="596" spans="1:20" ht="30.75" hidden="1" thickBot="1" x14ac:dyDescent="0.3">
      <c r="B596" s="87" t="str">
        <f t="shared" si="51"/>
        <v>MAPFRE SEGUROS GENERALES DE COLOMBIA S.A.</v>
      </c>
      <c r="C596" s="120" t="s">
        <v>145</v>
      </c>
      <c r="D596" s="82">
        <v>1</v>
      </c>
      <c r="E596" s="82"/>
      <c r="F596" s="82"/>
      <c r="G596" s="86"/>
      <c r="H596" s="82">
        <v>2</v>
      </c>
      <c r="I596" s="82">
        <v>1</v>
      </c>
      <c r="J596" s="82"/>
      <c r="K596" s="82">
        <v>1</v>
      </c>
      <c r="L596" s="59"/>
      <c r="M596" s="81"/>
      <c r="N596" s="81">
        <v>1</v>
      </c>
      <c r="O596" s="85"/>
      <c r="P596" s="81">
        <f t="shared" ref="P596:P605" si="53">SUM(D596:O596)</f>
        <v>6</v>
      </c>
      <c r="Q596" s="67">
        <f t="shared" si="50"/>
        <v>7.6644993165821441E-5</v>
      </c>
      <c r="R596" s="10"/>
      <c r="S596"/>
      <c r="T596"/>
    </row>
    <row r="597" spans="1:20" ht="15.75" hidden="1" thickBot="1" x14ac:dyDescent="0.3">
      <c r="B597" s="87" t="str">
        <f t="shared" si="51"/>
        <v>UNIVERSIDAD DE NARIÑO</v>
      </c>
      <c r="C597" s="120" t="s">
        <v>787</v>
      </c>
      <c r="D597" s="82"/>
      <c r="E597" s="82"/>
      <c r="F597" s="82"/>
      <c r="G597" s="86"/>
      <c r="H597" s="82">
        <v>2</v>
      </c>
      <c r="I597" s="82"/>
      <c r="J597" s="82">
        <v>1</v>
      </c>
      <c r="K597" s="82">
        <v>1</v>
      </c>
      <c r="L597" s="59"/>
      <c r="M597" s="81">
        <v>2</v>
      </c>
      <c r="N597" s="81"/>
      <c r="O597" s="85"/>
      <c r="P597" s="81">
        <f t="shared" si="53"/>
        <v>6</v>
      </c>
      <c r="Q597" s="67">
        <f t="shared" si="50"/>
        <v>7.6644993165821441E-5</v>
      </c>
      <c r="R597" s="10"/>
      <c r="S597"/>
      <c r="T597"/>
    </row>
    <row r="598" spans="1:20" ht="30.75" hidden="1" thickBot="1" x14ac:dyDescent="0.3">
      <c r="B598" s="87" t="str">
        <f t="shared" si="51"/>
        <v>UNIVERSIDAD PEDAGOGICA Y TECNOLOGICA DE COLOMBIA (UPTC)</v>
      </c>
      <c r="C598" s="120" t="s">
        <v>782</v>
      </c>
      <c r="D598" s="82"/>
      <c r="E598" s="82"/>
      <c r="F598" s="82"/>
      <c r="G598" s="86">
        <v>1</v>
      </c>
      <c r="H598" s="82">
        <v>1</v>
      </c>
      <c r="I598" s="82">
        <v>1</v>
      </c>
      <c r="J598" s="82"/>
      <c r="K598" s="82"/>
      <c r="L598" s="59">
        <v>1</v>
      </c>
      <c r="M598" s="81">
        <v>1</v>
      </c>
      <c r="N598" s="81"/>
      <c r="O598" s="85"/>
      <c r="P598" s="81">
        <f t="shared" si="53"/>
        <v>5</v>
      </c>
      <c r="Q598" s="67">
        <f t="shared" si="50"/>
        <v>6.3870827638184532E-5</v>
      </c>
      <c r="R598" s="10"/>
      <c r="S598"/>
      <c r="T598"/>
    </row>
    <row r="599" spans="1:20" ht="30.75" hidden="1" thickBot="1" x14ac:dyDescent="0.3">
      <c r="B599" s="87" t="str">
        <f t="shared" si="51"/>
        <v>UNIVERSIDAD INDUSTRIAL DE SANTANDER UIS</v>
      </c>
      <c r="C599" s="120" t="s">
        <v>758</v>
      </c>
      <c r="D599" s="82"/>
      <c r="E599" s="82">
        <v>1</v>
      </c>
      <c r="F599" s="82"/>
      <c r="G599" s="86"/>
      <c r="H599" s="82"/>
      <c r="I599" s="82">
        <v>1</v>
      </c>
      <c r="J599" s="82"/>
      <c r="K599" s="82"/>
      <c r="L599" s="59"/>
      <c r="M599" s="81"/>
      <c r="N599" s="81"/>
      <c r="O599" s="85">
        <v>2</v>
      </c>
      <c r="P599" s="81">
        <f t="shared" si="53"/>
        <v>4</v>
      </c>
      <c r="Q599" s="67"/>
      <c r="R599" s="10"/>
      <c r="S599"/>
      <c r="T599"/>
    </row>
    <row r="600" spans="1:20" ht="15.75" hidden="1" thickBot="1" x14ac:dyDescent="0.3">
      <c r="B600" s="87" t="str">
        <f t="shared" si="51"/>
        <v>LA EQUIDAD SEGUROS GENERALES</v>
      </c>
      <c r="C600" s="120" t="s">
        <v>794</v>
      </c>
      <c r="D600" s="82"/>
      <c r="E600" s="82"/>
      <c r="F600" s="82"/>
      <c r="G600" s="86"/>
      <c r="H600" s="82"/>
      <c r="I600" s="82">
        <v>1</v>
      </c>
      <c r="J600" s="82"/>
      <c r="K600" s="82">
        <v>1</v>
      </c>
      <c r="L600" s="59"/>
      <c r="M600" s="81"/>
      <c r="N600" s="81">
        <v>1</v>
      </c>
      <c r="O600" s="85"/>
      <c r="P600" s="81">
        <f t="shared" si="53"/>
        <v>3</v>
      </c>
      <c r="Q600" s="67"/>
      <c r="R600" s="10"/>
      <c r="S600"/>
      <c r="T600"/>
    </row>
    <row r="601" spans="1:20" ht="30.75" hidden="1" thickBot="1" x14ac:dyDescent="0.3">
      <c r="B601" s="87" t="str">
        <f t="shared" ref="B601:B602" si="54">+C601</f>
        <v>SERVICIO DE SALUD INMEDIATO MEDICINA PREPAGADA S.A.</v>
      </c>
      <c r="C601" s="120" t="s">
        <v>772</v>
      </c>
      <c r="D601" s="82"/>
      <c r="E601" s="82"/>
      <c r="F601" s="82">
        <v>1</v>
      </c>
      <c r="G601" s="86"/>
      <c r="H601" s="82"/>
      <c r="I601" s="82"/>
      <c r="J601" s="82">
        <v>1</v>
      </c>
      <c r="K601" s="82"/>
      <c r="L601" s="59"/>
      <c r="M601" s="81"/>
      <c r="N601" s="81"/>
      <c r="O601" s="85"/>
      <c r="P601" s="81">
        <f t="shared" si="53"/>
        <v>2</v>
      </c>
      <c r="Q601" s="67">
        <f>P601/$P$607</f>
        <v>2.5548331055273815E-5</v>
      </c>
      <c r="R601" s="10"/>
      <c r="S601"/>
      <c r="T601"/>
    </row>
    <row r="602" spans="1:20" ht="15.75" hidden="1" thickBot="1" x14ac:dyDescent="0.3">
      <c r="B602" s="87" t="str">
        <f t="shared" si="54"/>
        <v>FOSYGA</v>
      </c>
      <c r="C602" s="120" t="s">
        <v>123</v>
      </c>
      <c r="D602" s="82"/>
      <c r="E602" s="82"/>
      <c r="F602" s="82">
        <v>1</v>
      </c>
      <c r="G602" s="86">
        <v>1</v>
      </c>
      <c r="H602" s="82"/>
      <c r="I602" s="82"/>
      <c r="J602" s="82"/>
      <c r="K602" s="82"/>
      <c r="L602" s="59"/>
      <c r="M602" s="81"/>
      <c r="N602" s="81"/>
      <c r="O602" s="85"/>
      <c r="P602" s="81">
        <f t="shared" si="53"/>
        <v>2</v>
      </c>
      <c r="Q602" s="67">
        <f>P602/$P$607</f>
        <v>2.5548331055273815E-5</v>
      </c>
      <c r="R602" s="10"/>
      <c r="S602"/>
      <c r="T602"/>
    </row>
    <row r="603" spans="1:20" ht="30.75" hidden="1" thickBot="1" x14ac:dyDescent="0.3">
      <c r="B603" s="87"/>
      <c r="C603" s="120" t="s">
        <v>795</v>
      </c>
      <c r="D603" s="82"/>
      <c r="E603" s="82"/>
      <c r="F603" s="82"/>
      <c r="G603" s="86"/>
      <c r="H603" s="82"/>
      <c r="I603" s="82">
        <v>1</v>
      </c>
      <c r="J603" s="82"/>
      <c r="K603" s="82"/>
      <c r="L603" s="59"/>
      <c r="M603" s="81"/>
      <c r="N603" s="81"/>
      <c r="O603" s="85"/>
      <c r="P603" s="81">
        <f t="shared" si="53"/>
        <v>1</v>
      </c>
      <c r="Q603" s="67"/>
      <c r="R603" s="10"/>
      <c r="S603"/>
      <c r="T603"/>
    </row>
    <row r="604" spans="1:20" ht="30.75" hidden="1" thickBot="1" x14ac:dyDescent="0.3">
      <c r="B604" s="87"/>
      <c r="C604" s="120" t="s">
        <v>757</v>
      </c>
      <c r="D604" s="82"/>
      <c r="E604" s="82">
        <v>1</v>
      </c>
      <c r="F604" s="82"/>
      <c r="G604" s="86"/>
      <c r="H604" s="82"/>
      <c r="I604" s="82"/>
      <c r="J604" s="82"/>
      <c r="K604" s="82"/>
      <c r="L604" s="59"/>
      <c r="M604" s="81"/>
      <c r="N604" s="81"/>
      <c r="O604" s="85"/>
      <c r="P604" s="81">
        <f t="shared" ref="P604" si="55">SUM(D604:O604)</f>
        <v>1</v>
      </c>
      <c r="Q604" s="67"/>
      <c r="R604" s="10"/>
      <c r="S604"/>
      <c r="T604"/>
    </row>
    <row r="605" spans="1:20" ht="15.75" hidden="1" thickBot="1" x14ac:dyDescent="0.3">
      <c r="B605" s="87"/>
      <c r="C605" s="120" t="s">
        <v>810</v>
      </c>
      <c r="D605" s="82"/>
      <c r="E605" s="82"/>
      <c r="F605" s="82"/>
      <c r="G605" s="86"/>
      <c r="H605" s="82"/>
      <c r="I605" s="82"/>
      <c r="J605" s="82"/>
      <c r="K605" s="82"/>
      <c r="L605" s="59"/>
      <c r="M605" s="81">
        <v>1</v>
      </c>
      <c r="N605" s="81"/>
      <c r="O605" s="85"/>
      <c r="P605" s="81">
        <f t="shared" si="53"/>
        <v>1</v>
      </c>
      <c r="Q605" s="67"/>
      <c r="R605" s="10"/>
      <c r="S605"/>
      <c r="T605"/>
    </row>
    <row r="606" spans="1:20" ht="15.75" thickBot="1" x14ac:dyDescent="0.3">
      <c r="C606" s="47" t="s">
        <v>150</v>
      </c>
      <c r="D606" s="94">
        <f>SUM(D519:D528)</f>
        <v>4959</v>
      </c>
      <c r="E606" s="94">
        <f t="shared" ref="E606:M606" si="56">SUM(E519:E528)</f>
        <v>5041</v>
      </c>
      <c r="F606" s="94">
        <f t="shared" si="56"/>
        <v>6210</v>
      </c>
      <c r="G606" s="94">
        <f t="shared" si="56"/>
        <v>6034</v>
      </c>
      <c r="H606" s="94">
        <f t="shared" si="56"/>
        <v>5398</v>
      </c>
      <c r="I606" s="94">
        <f t="shared" si="56"/>
        <v>5461</v>
      </c>
      <c r="J606" s="94">
        <f t="shared" si="56"/>
        <v>5821</v>
      </c>
      <c r="K606" s="94">
        <f t="shared" si="56"/>
        <v>6165</v>
      </c>
      <c r="L606" s="94">
        <f>SUM(L519:L528)</f>
        <v>6649</v>
      </c>
      <c r="M606" s="94">
        <f t="shared" si="56"/>
        <v>6191</v>
      </c>
      <c r="N606" s="94">
        <f>SUM(N518:N591)</f>
        <v>7449</v>
      </c>
      <c r="O606" s="94">
        <f>SUM(O518:O591)</f>
        <v>5323</v>
      </c>
      <c r="P606" s="94">
        <f>SUM(P519:P528)</f>
        <v>69468</v>
      </c>
      <c r="Q606" s="122">
        <f>SUM(Q519:Q528)</f>
        <v>0.88739573087388068</v>
      </c>
    </row>
    <row r="607" spans="1:20" ht="15.75" thickBot="1" x14ac:dyDescent="0.3">
      <c r="C607" s="47" t="s">
        <v>15</v>
      </c>
      <c r="D607" s="94">
        <f>SUM(D519:D605)</f>
        <v>5906</v>
      </c>
      <c r="E607" s="94">
        <f t="shared" ref="E607:N607" si="57">SUM(E519:E605)</f>
        <v>5697</v>
      </c>
      <c r="F607" s="94">
        <f t="shared" si="57"/>
        <v>7057</v>
      </c>
      <c r="G607" s="94">
        <f t="shared" si="57"/>
        <v>6911</v>
      </c>
      <c r="H607" s="94">
        <f t="shared" si="57"/>
        <v>6226</v>
      </c>
      <c r="I607" s="94">
        <f t="shared" si="57"/>
        <v>6122</v>
      </c>
      <c r="J607" s="94">
        <f t="shared" si="57"/>
        <v>6515</v>
      </c>
      <c r="K607" s="94">
        <f t="shared" si="57"/>
        <v>6912</v>
      </c>
      <c r="L607" s="94">
        <f t="shared" si="57"/>
        <v>7329</v>
      </c>
      <c r="M607" s="94">
        <f t="shared" si="57"/>
        <v>6823</v>
      </c>
      <c r="N607" s="94">
        <f t="shared" si="57"/>
        <v>7455</v>
      </c>
      <c r="O607" s="94">
        <f t="shared" ref="O607:P607" si="58">SUM(O519:O605)</f>
        <v>5330</v>
      </c>
      <c r="P607" s="94">
        <f t="shared" si="58"/>
        <v>78283</v>
      </c>
      <c r="Q607" s="150">
        <f>SUM(Q519:Q591)</f>
        <v>0.99924632423386928</v>
      </c>
    </row>
    <row r="608" spans="1:20" ht="43.5" customHeight="1" x14ac:dyDescent="0.25">
      <c r="A608" s="1"/>
      <c r="B608" s="34"/>
      <c r="C608" s="153" t="s">
        <v>151</v>
      </c>
      <c r="D608" s="153"/>
      <c r="E608" s="153"/>
      <c r="F608" s="153"/>
      <c r="G608" s="153"/>
      <c r="H608" s="153"/>
      <c r="I608" s="153"/>
      <c r="J608" s="153"/>
      <c r="K608" s="153"/>
      <c r="L608" s="153"/>
      <c r="M608" s="153"/>
      <c r="N608" s="153"/>
      <c r="O608" s="153"/>
      <c r="P608" s="153"/>
      <c r="Q608" s="153"/>
    </row>
    <row r="609" spans="1:18" ht="22.5" customHeight="1" x14ac:dyDescent="0.25">
      <c r="C609" s="151" t="s">
        <v>745</v>
      </c>
      <c r="D609" s="151"/>
      <c r="E609" s="151"/>
      <c r="F609" s="151"/>
      <c r="G609" s="151"/>
      <c r="H609" s="151"/>
      <c r="I609" s="151"/>
      <c r="J609" s="151"/>
      <c r="K609" s="151"/>
      <c r="L609" s="151"/>
      <c r="M609" s="151"/>
      <c r="N609" s="151"/>
      <c r="O609" s="151"/>
      <c r="P609" s="151"/>
      <c r="Q609" s="151"/>
    </row>
    <row r="610" spans="1:18" ht="22.5" customHeight="1" x14ac:dyDescent="0.25">
      <c r="C610" s="151" t="str">
        <f>C15</f>
        <v>FUENTE: BASE DE DATOS SNS AÑO 2.021 (ENERO-DICIEMBRE)</v>
      </c>
      <c r="D610" s="151"/>
      <c r="E610" s="151"/>
      <c r="F610" s="151"/>
      <c r="G610" s="151"/>
      <c r="H610" s="151"/>
      <c r="I610" s="151"/>
      <c r="J610" s="151"/>
      <c r="K610" s="151"/>
      <c r="L610" s="151"/>
      <c r="M610" s="151"/>
      <c r="N610" s="151"/>
      <c r="O610" s="151"/>
      <c r="P610" s="151"/>
      <c r="Q610" s="151"/>
    </row>
    <row r="611" spans="1:18" x14ac:dyDescent="0.25">
      <c r="P611" s="10"/>
    </row>
    <row r="613" spans="1:18" s="147" customFormat="1" ht="9" x14ac:dyDescent="0.25">
      <c r="A613" s="146"/>
      <c r="D613" s="148"/>
      <c r="E613" s="148"/>
      <c r="F613" s="148"/>
      <c r="G613" s="148"/>
      <c r="H613" s="148"/>
      <c r="I613" s="148"/>
      <c r="J613" s="148"/>
      <c r="K613" s="148"/>
      <c r="L613" s="148"/>
      <c r="M613" s="148"/>
      <c r="N613" s="148"/>
      <c r="O613" s="148"/>
      <c r="P613" s="148"/>
      <c r="Q613" s="149"/>
      <c r="R613" s="148"/>
    </row>
    <row r="614" spans="1:18" hidden="1" x14ac:dyDescent="0.25">
      <c r="D614" s="10"/>
      <c r="E614" s="10"/>
      <c r="F614" s="10"/>
      <c r="G614" s="10"/>
      <c r="H614" s="10"/>
      <c r="I614" s="10"/>
      <c r="J614" s="10"/>
      <c r="K614" s="10"/>
      <c r="L614" s="10"/>
      <c r="M614" s="10"/>
      <c r="N614" s="10"/>
      <c r="O614" s="10"/>
      <c r="P614" s="10"/>
    </row>
    <row r="615" spans="1:18" hidden="1" x14ac:dyDescent="0.25"/>
    <row r="616" spans="1:18" hidden="1" x14ac:dyDescent="0.25"/>
    <row r="617" spans="1:18" hidden="1" x14ac:dyDescent="0.25"/>
    <row r="618" spans="1:18" hidden="1" x14ac:dyDescent="0.25"/>
    <row r="619" spans="1:18" hidden="1" x14ac:dyDescent="0.25">
      <c r="C619"/>
    </row>
    <row r="620" spans="1:18" hidden="1" x14ac:dyDescent="0.25">
      <c r="B620" s="25"/>
      <c r="C620" s="17" t="s">
        <v>15</v>
      </c>
      <c r="D620" s="18">
        <f t="shared" ref="D620:P620" si="59">D607+D504+D468</f>
        <v>72794</v>
      </c>
      <c r="E620" s="18">
        <f t="shared" si="59"/>
        <v>77757</v>
      </c>
      <c r="F620" s="18">
        <f t="shared" si="59"/>
        <v>85093</v>
      </c>
      <c r="G620" s="18">
        <f t="shared" si="59"/>
        <v>81980</v>
      </c>
      <c r="H620" s="18">
        <f t="shared" si="59"/>
        <v>72385</v>
      </c>
      <c r="I620" s="18">
        <f t="shared" si="59"/>
        <v>81817</v>
      </c>
      <c r="J620" s="18">
        <f t="shared" si="59"/>
        <v>87779</v>
      </c>
      <c r="K620" s="18">
        <f t="shared" si="59"/>
        <v>90663</v>
      </c>
      <c r="L620" s="18">
        <f t="shared" si="59"/>
        <v>95124</v>
      </c>
      <c r="M620" s="18">
        <f t="shared" si="59"/>
        <v>85871</v>
      </c>
      <c r="N620" s="18">
        <f t="shared" si="59"/>
        <v>93356</v>
      </c>
      <c r="O620" s="18">
        <f t="shared" si="59"/>
        <v>72114</v>
      </c>
      <c r="P620" s="18">
        <f t="shared" si="59"/>
        <v>996733</v>
      </c>
    </row>
    <row r="621" spans="1:18" ht="25.5" hidden="1" x14ac:dyDescent="0.25">
      <c r="B621" s="25"/>
      <c r="C621" s="19" t="s">
        <v>152</v>
      </c>
      <c r="D621" s="20">
        <f t="shared" ref="D621:P621" si="60">+D607+D504+D468-D620</f>
        <v>0</v>
      </c>
      <c r="E621" s="20">
        <f t="shared" si="60"/>
        <v>0</v>
      </c>
      <c r="F621" s="20">
        <f t="shared" si="60"/>
        <v>0</v>
      </c>
      <c r="G621" s="20">
        <f t="shared" si="60"/>
        <v>0</v>
      </c>
      <c r="H621" s="20">
        <f t="shared" si="60"/>
        <v>0</v>
      </c>
      <c r="I621" s="20">
        <f t="shared" si="60"/>
        <v>0</v>
      </c>
      <c r="J621" s="20">
        <f t="shared" si="60"/>
        <v>0</v>
      </c>
      <c r="K621" s="20">
        <f t="shared" si="60"/>
        <v>0</v>
      </c>
      <c r="L621" s="20">
        <f t="shared" si="60"/>
        <v>0</v>
      </c>
      <c r="M621" s="20">
        <f t="shared" si="60"/>
        <v>0</v>
      </c>
      <c r="N621" s="20">
        <f t="shared" si="60"/>
        <v>0</v>
      </c>
      <c r="O621" s="20">
        <f t="shared" si="60"/>
        <v>0</v>
      </c>
      <c r="P621" s="20">
        <f t="shared" si="60"/>
        <v>0</v>
      </c>
    </row>
    <row r="622" spans="1:18" hidden="1" x14ac:dyDescent="0.25">
      <c r="B622" s="42"/>
      <c r="C622" s="21"/>
      <c r="D622" s="22"/>
      <c r="E622" s="22"/>
      <c r="F622" s="22"/>
      <c r="G622" s="22"/>
      <c r="H622" s="22"/>
      <c r="I622" s="22"/>
      <c r="J622" s="22"/>
      <c r="K622" s="22"/>
      <c r="L622" s="22"/>
      <c r="M622" s="22"/>
      <c r="N622" s="22"/>
      <c r="O622" s="22"/>
      <c r="P622" s="21"/>
    </row>
    <row r="623" spans="1:18" hidden="1" x14ac:dyDescent="0.2">
      <c r="B623" s="23"/>
      <c r="C623" s="23"/>
      <c r="D623" s="24"/>
      <c r="E623" s="24"/>
      <c r="F623" s="24"/>
      <c r="G623" s="24"/>
      <c r="H623" s="24"/>
      <c r="I623" s="24"/>
      <c r="J623" s="24"/>
      <c r="K623" s="24"/>
      <c r="L623" s="24"/>
      <c r="M623" s="24"/>
      <c r="N623" s="24"/>
      <c r="O623" s="24"/>
      <c r="P623" s="21"/>
    </row>
    <row r="624" spans="1:18" hidden="1" x14ac:dyDescent="0.2">
      <c r="B624" s="23"/>
      <c r="C624" s="23"/>
      <c r="D624" s="24"/>
      <c r="E624" s="24"/>
      <c r="F624" s="24"/>
      <c r="G624" s="24"/>
      <c r="H624" s="24"/>
      <c r="I624" s="24"/>
      <c r="J624" s="24"/>
      <c r="K624" s="24"/>
      <c r="L624" s="24"/>
      <c r="M624" s="24"/>
      <c r="N624" s="24"/>
      <c r="O624" s="24"/>
      <c r="P624" s="21"/>
    </row>
    <row r="625" spans="2:16" hidden="1" x14ac:dyDescent="0.2">
      <c r="B625" s="23"/>
      <c r="C625" s="23"/>
      <c r="D625" s="24"/>
      <c r="E625" s="24"/>
      <c r="F625" s="24"/>
      <c r="G625" s="24"/>
      <c r="H625" s="24"/>
      <c r="I625" s="24"/>
      <c r="J625" s="24"/>
      <c r="K625" s="24"/>
      <c r="L625" s="24"/>
      <c r="M625" s="24"/>
      <c r="N625" s="24"/>
      <c r="O625" s="24"/>
      <c r="P625" s="21"/>
    </row>
    <row r="626" spans="2:16" hidden="1" x14ac:dyDescent="0.25">
      <c r="B626" s="25"/>
      <c r="C626" s="25"/>
      <c r="D626" s="26">
        <f>SUM(D622:D625)</f>
        <v>0</v>
      </c>
      <c r="E626" s="26">
        <f t="shared" ref="E626:P626" si="61">SUM(E622:E625)</f>
        <v>0</v>
      </c>
      <c r="F626" s="26">
        <f t="shared" si="61"/>
        <v>0</v>
      </c>
      <c r="G626" s="26">
        <f t="shared" si="61"/>
        <v>0</v>
      </c>
      <c r="H626" s="26">
        <f t="shared" si="61"/>
        <v>0</v>
      </c>
      <c r="I626" s="26">
        <f t="shared" si="61"/>
        <v>0</v>
      </c>
      <c r="J626" s="26">
        <f t="shared" si="61"/>
        <v>0</v>
      </c>
      <c r="K626" s="26">
        <f t="shared" si="61"/>
        <v>0</v>
      </c>
      <c r="L626" s="26">
        <f t="shared" si="61"/>
        <v>0</v>
      </c>
      <c r="M626" s="26">
        <f t="shared" si="61"/>
        <v>0</v>
      </c>
      <c r="N626" s="26">
        <f t="shared" si="61"/>
        <v>0</v>
      </c>
      <c r="O626" s="26">
        <f t="shared" si="61"/>
        <v>0</v>
      </c>
      <c r="P626" s="26">
        <f t="shared" si="61"/>
        <v>0</v>
      </c>
    </row>
    <row r="627" spans="2:16" hidden="1" x14ac:dyDescent="0.25"/>
    <row r="628" spans="2:16" hidden="1" x14ac:dyDescent="0.25"/>
    <row r="629" spans="2:16" hidden="1" x14ac:dyDescent="0.25"/>
    <row r="630" spans="2:16" hidden="1" x14ac:dyDescent="0.25"/>
    <row r="631" spans="2:16" hidden="1" x14ac:dyDescent="0.25"/>
  </sheetData>
  <sortState xmlns:xlrd2="http://schemas.microsoft.com/office/spreadsheetml/2017/richdata2" ref="A479:R503">
    <sortCondition descending="1" ref="R479:R503"/>
  </sortState>
  <mergeCells count="45">
    <mergeCell ref="C506:R506"/>
    <mergeCell ref="C507:R507"/>
    <mergeCell ref="C477:R477"/>
    <mergeCell ref="C95:R95"/>
    <mergeCell ref="C452:R452"/>
    <mergeCell ref="C146:Q146"/>
    <mergeCell ref="C131:R131"/>
    <mergeCell ref="C132:R132"/>
    <mergeCell ref="C473:R473"/>
    <mergeCell ref="C472:R472"/>
    <mergeCell ref="C505:R505"/>
    <mergeCell ref="C608:Q608"/>
    <mergeCell ref="C609:Q609"/>
    <mergeCell ref="C610:Q610"/>
    <mergeCell ref="A1:B1"/>
    <mergeCell ref="C1:R1"/>
    <mergeCell ref="C2:R2"/>
    <mergeCell ref="C147:Q147"/>
    <mergeCell ref="C446:Q446"/>
    <mergeCell ref="C447:Q447"/>
    <mergeCell ref="C51:R51"/>
    <mergeCell ref="C32:Q32"/>
    <mergeCell ref="C13:P13"/>
    <mergeCell ref="C14:P14"/>
    <mergeCell ref="C15:P15"/>
    <mergeCell ref="C25:P25"/>
    <mergeCell ref="C26:P26"/>
    <mergeCell ref="C88:R88"/>
    <mergeCell ref="C470:R470"/>
    <mergeCell ref="C469:R469"/>
    <mergeCell ref="C471:R471"/>
    <mergeCell ref="C90:R90"/>
    <mergeCell ref="C91:R91"/>
    <mergeCell ref="C133:R133"/>
    <mergeCell ref="C134:R134"/>
    <mergeCell ref="C44:Q44"/>
    <mergeCell ref="C41:Q41"/>
    <mergeCell ref="C42:Q42"/>
    <mergeCell ref="C43:Q43"/>
    <mergeCell ref="C45:Q45"/>
    <mergeCell ref="C511:R511"/>
    <mergeCell ref="C512:R512"/>
    <mergeCell ref="C508:R508"/>
    <mergeCell ref="C509:R509"/>
    <mergeCell ref="C510:R510"/>
  </mergeCells>
  <phoneticPr fontId="18" type="noConversion"/>
  <printOptions horizontalCentered="1"/>
  <pageMargins left="0.70866141732283472" right="0.70866141732283472" top="0.74803149606299213" bottom="0.74803149606299213" header="0.31496062992125984" footer="0.31496062992125984"/>
  <pageSetup scale="45" orientation="portrait" r:id="rId1"/>
  <headerFooter>
    <oddHeader>&amp;L&amp;G&amp;R&amp;G</oddHeader>
    <oddFooter>&amp;LCOFL03&amp;R&amp;P</oddFooter>
  </headerFooter>
  <ignoredErrors>
    <ignoredError sqref="E444:K444 E606:L606" formulaRange="1"/>
  </ignoredError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0FA0-460A-4A22-820E-24D7614E110D}">
  <dimension ref="B1:S71"/>
  <sheetViews>
    <sheetView topLeftCell="A37" workbookViewId="0">
      <selection activeCell="G43" sqref="G43"/>
    </sheetView>
  </sheetViews>
  <sheetFormatPr baseColWidth="10" defaultRowHeight="15" x14ac:dyDescent="0.25"/>
  <cols>
    <col min="3" max="3" width="28.85546875" bestFit="1" customWidth="1"/>
    <col min="5" max="16" width="11.42578125" customWidth="1"/>
  </cols>
  <sheetData>
    <row r="1" spans="2:19" ht="60.75" thickBot="1" x14ac:dyDescent="0.3">
      <c r="B1" s="11" t="s">
        <v>223</v>
      </c>
      <c r="C1" s="36" t="s">
        <v>223</v>
      </c>
      <c r="D1" s="47" t="s">
        <v>41</v>
      </c>
      <c r="E1" s="48" t="s">
        <v>2</v>
      </c>
      <c r="F1" s="48" t="s">
        <v>3</v>
      </c>
      <c r="G1" s="48" t="s">
        <v>4</v>
      </c>
      <c r="H1" s="48" t="s">
        <v>5</v>
      </c>
      <c r="I1" s="48" t="s">
        <v>6</v>
      </c>
      <c r="J1" s="48" t="s">
        <v>7</v>
      </c>
      <c r="K1" s="48" t="s">
        <v>8</v>
      </c>
      <c r="L1" s="48" t="s">
        <v>9</v>
      </c>
      <c r="M1" s="48" t="s">
        <v>10</v>
      </c>
      <c r="N1" s="48" t="s">
        <v>11</v>
      </c>
      <c r="O1" s="48" t="s">
        <v>12</v>
      </c>
      <c r="P1" s="48" t="s">
        <v>13</v>
      </c>
      <c r="Q1" s="49" t="e">
        <f>+'PQRD - SNS'!#REF!</f>
        <v>#REF!</v>
      </c>
      <c r="R1" s="53" t="s">
        <v>725</v>
      </c>
      <c r="S1" s="53" t="s">
        <v>158</v>
      </c>
    </row>
    <row r="2" spans="2:19" ht="30.75" thickBot="1" x14ac:dyDescent="0.3">
      <c r="B2" s="37" t="s">
        <v>246</v>
      </c>
      <c r="C2" s="36" t="s">
        <v>703</v>
      </c>
      <c r="D2" s="44" t="s">
        <v>64</v>
      </c>
      <c r="E2" s="45">
        <v>307</v>
      </c>
      <c r="F2" s="46"/>
      <c r="G2" s="46"/>
      <c r="H2" s="46"/>
      <c r="I2" s="46"/>
      <c r="J2" s="46"/>
      <c r="K2" s="46"/>
      <c r="L2" s="46"/>
      <c r="M2" s="46"/>
      <c r="N2" s="46"/>
      <c r="O2" s="46"/>
      <c r="P2" s="46"/>
      <c r="Q2" s="45">
        <f t="shared" ref="Q2:Q33" si="0">SUM(E2:P2)</f>
        <v>307</v>
      </c>
      <c r="R2" s="59">
        <v>56904.416666666664</v>
      </c>
      <c r="S2" s="60">
        <f t="shared" ref="S2:S33" si="1">+Q2/R2*1000</f>
        <v>5.3950118107411109</v>
      </c>
    </row>
    <row r="3" spans="2:19" ht="15.75" thickBot="1" x14ac:dyDescent="0.3">
      <c r="B3" s="37" t="s">
        <v>228</v>
      </c>
      <c r="C3" s="36" t="s">
        <v>696</v>
      </c>
      <c r="D3" s="44" t="s">
        <v>46</v>
      </c>
      <c r="E3" s="45">
        <v>1673</v>
      </c>
      <c r="F3" s="46"/>
      <c r="G3" s="46"/>
      <c r="H3" s="46"/>
      <c r="I3" s="46"/>
      <c r="J3" s="46"/>
      <c r="K3" s="46"/>
      <c r="L3" s="46"/>
      <c r="M3" s="46"/>
      <c r="N3" s="46"/>
      <c r="O3" s="46"/>
      <c r="P3" s="46"/>
      <c r="Q3" s="45">
        <f t="shared" si="0"/>
        <v>1673</v>
      </c>
      <c r="R3" s="59">
        <v>535096.33333333337</v>
      </c>
      <c r="S3" s="60">
        <f t="shared" si="1"/>
        <v>3.1265398317686097</v>
      </c>
    </row>
    <row r="4" spans="2:19" ht="15.75" thickBot="1" x14ac:dyDescent="0.3">
      <c r="B4" s="37" t="s">
        <v>224</v>
      </c>
      <c r="C4" s="36" t="s">
        <v>694</v>
      </c>
      <c r="D4" s="44" t="s">
        <v>42</v>
      </c>
      <c r="E4" s="45">
        <v>950</v>
      </c>
      <c r="F4" s="46"/>
      <c r="G4" s="46"/>
      <c r="H4" s="46"/>
      <c r="I4" s="46"/>
      <c r="J4" s="46"/>
      <c r="K4" s="46"/>
      <c r="L4" s="46"/>
      <c r="M4" s="46"/>
      <c r="N4" s="46"/>
      <c r="O4" s="46"/>
      <c r="P4" s="46"/>
      <c r="Q4" s="45">
        <f t="shared" si="0"/>
        <v>950</v>
      </c>
      <c r="R4" s="59">
        <v>307503.83333333331</v>
      </c>
      <c r="S4" s="60">
        <f t="shared" si="1"/>
        <v>3.0893923815583872</v>
      </c>
    </row>
    <row r="5" spans="2:19" ht="15.75" thickBot="1" x14ac:dyDescent="0.3">
      <c r="B5" s="37" t="s">
        <v>231</v>
      </c>
      <c r="C5" s="36" t="s">
        <v>701</v>
      </c>
      <c r="D5" s="44" t="s">
        <v>49</v>
      </c>
      <c r="E5" s="45">
        <v>6465</v>
      </c>
      <c r="F5" s="46"/>
      <c r="G5" s="46"/>
      <c r="H5" s="46"/>
      <c r="I5" s="46"/>
      <c r="J5" s="46"/>
      <c r="K5" s="46"/>
      <c r="L5" s="46"/>
      <c r="M5" s="46"/>
      <c r="N5" s="46"/>
      <c r="O5" s="46"/>
      <c r="P5" s="46"/>
      <c r="Q5" s="45">
        <f t="shared" si="0"/>
        <v>6465</v>
      </c>
      <c r="R5" s="59">
        <v>2334341.6666666665</v>
      </c>
      <c r="S5" s="60">
        <f t="shared" si="1"/>
        <v>2.7695174585268512</v>
      </c>
    </row>
    <row r="6" spans="2:19" ht="15.75" thickBot="1" x14ac:dyDescent="0.3">
      <c r="B6" s="37" t="s">
        <v>227</v>
      </c>
      <c r="C6" s="36" t="s">
        <v>693</v>
      </c>
      <c r="D6" s="44" t="s">
        <v>45</v>
      </c>
      <c r="E6" s="45">
        <v>859</v>
      </c>
      <c r="F6" s="46"/>
      <c r="G6" s="46"/>
      <c r="H6" s="46"/>
      <c r="I6" s="46"/>
      <c r="J6" s="46"/>
      <c r="K6" s="46"/>
      <c r="L6" s="46"/>
      <c r="M6" s="46"/>
      <c r="N6" s="46"/>
      <c r="O6" s="46"/>
      <c r="P6" s="46"/>
      <c r="Q6" s="45">
        <f t="shared" si="0"/>
        <v>859</v>
      </c>
      <c r="R6" s="59">
        <v>328824.58333333331</v>
      </c>
      <c r="S6" s="60">
        <f t="shared" si="1"/>
        <v>2.6123350976141029</v>
      </c>
    </row>
    <row r="7" spans="2:19" ht="15.75" thickBot="1" x14ac:dyDescent="0.3">
      <c r="B7" s="37" t="s">
        <v>230</v>
      </c>
      <c r="C7" s="36" t="s">
        <v>698</v>
      </c>
      <c r="D7" s="44" t="s">
        <v>48</v>
      </c>
      <c r="E7" s="45">
        <v>1315</v>
      </c>
      <c r="F7" s="46"/>
      <c r="G7" s="46"/>
      <c r="H7" s="46"/>
      <c r="I7" s="46"/>
      <c r="J7" s="46"/>
      <c r="K7" s="46"/>
      <c r="L7" s="46"/>
      <c r="M7" s="46"/>
      <c r="N7" s="46"/>
      <c r="O7" s="46"/>
      <c r="P7" s="46"/>
      <c r="Q7" s="45">
        <f t="shared" si="0"/>
        <v>1315</v>
      </c>
      <c r="R7" s="59">
        <v>557333.83333333337</v>
      </c>
      <c r="S7" s="60">
        <f t="shared" si="1"/>
        <v>2.3594476440362042</v>
      </c>
    </row>
    <row r="8" spans="2:19" ht="30.75" thickBot="1" x14ac:dyDescent="0.3">
      <c r="B8" s="37" t="s">
        <v>232</v>
      </c>
      <c r="C8" s="36" t="s">
        <v>702</v>
      </c>
      <c r="D8" s="44" t="s">
        <v>50</v>
      </c>
      <c r="E8" s="45">
        <v>17911</v>
      </c>
      <c r="F8" s="46"/>
      <c r="G8" s="46"/>
      <c r="H8" s="46"/>
      <c r="I8" s="46"/>
      <c r="J8" s="46"/>
      <c r="K8" s="46"/>
      <c r="L8" s="46"/>
      <c r="M8" s="46"/>
      <c r="N8" s="46"/>
      <c r="O8" s="46"/>
      <c r="P8" s="46"/>
      <c r="Q8" s="45">
        <f t="shared" si="0"/>
        <v>17911</v>
      </c>
      <c r="R8" s="59">
        <v>7845173.833333333</v>
      </c>
      <c r="S8" s="60">
        <f t="shared" si="1"/>
        <v>2.2830596721640521</v>
      </c>
    </row>
    <row r="9" spans="2:19" ht="15.75" thickBot="1" x14ac:dyDescent="0.3">
      <c r="B9" s="37" t="s">
        <v>229</v>
      </c>
      <c r="C9" s="36" t="s">
        <v>695</v>
      </c>
      <c r="D9" s="44" t="s">
        <v>47</v>
      </c>
      <c r="E9" s="45">
        <v>926</v>
      </c>
      <c r="F9" s="46"/>
      <c r="G9" s="46"/>
      <c r="H9" s="46"/>
      <c r="I9" s="46"/>
      <c r="J9" s="46"/>
      <c r="K9" s="46"/>
      <c r="L9" s="46"/>
      <c r="M9" s="46"/>
      <c r="N9" s="46"/>
      <c r="O9" s="46"/>
      <c r="P9" s="46"/>
      <c r="Q9" s="45">
        <f t="shared" si="0"/>
        <v>926</v>
      </c>
      <c r="R9" s="59">
        <v>414108.16666666669</v>
      </c>
      <c r="S9" s="60">
        <f t="shared" si="1"/>
        <v>2.2361307371785708</v>
      </c>
    </row>
    <row r="10" spans="2:19" ht="15.75" thickBot="1" x14ac:dyDescent="0.3">
      <c r="B10" s="37" t="s">
        <v>233</v>
      </c>
      <c r="C10" s="36" t="s">
        <v>699</v>
      </c>
      <c r="D10" s="44" t="s">
        <v>51</v>
      </c>
      <c r="E10" s="45">
        <v>6075</v>
      </c>
      <c r="F10" s="46"/>
      <c r="G10" s="46"/>
      <c r="H10" s="46"/>
      <c r="I10" s="46"/>
      <c r="J10" s="46"/>
      <c r="K10" s="46"/>
      <c r="L10" s="46"/>
      <c r="M10" s="46"/>
      <c r="N10" s="46"/>
      <c r="O10" s="46"/>
      <c r="P10" s="46"/>
      <c r="Q10" s="45">
        <f t="shared" si="0"/>
        <v>6075</v>
      </c>
      <c r="R10" s="59">
        <v>2797097.75</v>
      </c>
      <c r="S10" s="60">
        <f t="shared" si="1"/>
        <v>2.1718940641241447</v>
      </c>
    </row>
    <row r="11" spans="2:19" ht="30.75" thickBot="1" x14ac:dyDescent="0.3">
      <c r="B11" s="37" t="s">
        <v>226</v>
      </c>
      <c r="C11" s="36" t="s">
        <v>697</v>
      </c>
      <c r="D11" s="44" t="s">
        <v>44</v>
      </c>
      <c r="E11" s="45">
        <v>1437</v>
      </c>
      <c r="F11" s="46"/>
      <c r="G11" s="46"/>
      <c r="H11" s="46"/>
      <c r="I11" s="46"/>
      <c r="J11" s="46"/>
      <c r="K11" s="46"/>
      <c r="L11" s="46"/>
      <c r="M11" s="46"/>
      <c r="N11" s="46"/>
      <c r="O11" s="46"/>
      <c r="P11" s="46"/>
      <c r="Q11" s="45">
        <f t="shared" si="0"/>
        <v>1437</v>
      </c>
      <c r="R11" s="59">
        <v>707941.08333333337</v>
      </c>
      <c r="S11" s="60">
        <f t="shared" si="1"/>
        <v>2.0298299305274106</v>
      </c>
    </row>
    <row r="12" spans="2:19" ht="30.75" thickBot="1" x14ac:dyDescent="0.3">
      <c r="B12" s="37" t="s">
        <v>237</v>
      </c>
      <c r="C12" s="36" t="s">
        <v>705</v>
      </c>
      <c r="D12" s="44" t="s">
        <v>55</v>
      </c>
      <c r="E12" s="45">
        <v>2780</v>
      </c>
      <c r="F12" s="46"/>
      <c r="G12" s="46"/>
      <c r="H12" s="46"/>
      <c r="I12" s="46"/>
      <c r="J12" s="46"/>
      <c r="K12" s="46"/>
      <c r="L12" s="46"/>
      <c r="M12" s="46"/>
      <c r="N12" s="46"/>
      <c r="O12" s="46"/>
      <c r="P12" s="46"/>
      <c r="Q12" s="45">
        <f t="shared" si="0"/>
        <v>2780</v>
      </c>
      <c r="R12" s="59">
        <v>1495753</v>
      </c>
      <c r="S12" s="60">
        <f t="shared" si="1"/>
        <v>1.8585956371138819</v>
      </c>
    </row>
    <row r="13" spans="2:19" ht="15.75" thickBot="1" x14ac:dyDescent="0.3">
      <c r="B13" s="37" t="s">
        <v>225</v>
      </c>
      <c r="C13" s="36" t="s">
        <v>692</v>
      </c>
      <c r="D13" s="44" t="s">
        <v>43</v>
      </c>
      <c r="E13" s="45">
        <v>658</v>
      </c>
      <c r="F13" s="46"/>
      <c r="G13" s="46"/>
      <c r="H13" s="46"/>
      <c r="I13" s="46"/>
      <c r="J13" s="46"/>
      <c r="K13" s="46"/>
      <c r="L13" s="46"/>
      <c r="M13" s="46"/>
      <c r="N13" s="46"/>
      <c r="O13" s="46"/>
      <c r="P13" s="46"/>
      <c r="Q13" s="45">
        <f t="shared" si="0"/>
        <v>658</v>
      </c>
      <c r="R13" s="59">
        <v>399082.41666666669</v>
      </c>
      <c r="S13" s="60">
        <f t="shared" si="1"/>
        <v>1.6487822377541481</v>
      </c>
    </row>
    <row r="14" spans="2:19" ht="30.75" thickBot="1" x14ac:dyDescent="0.3">
      <c r="B14" s="37" t="s">
        <v>250</v>
      </c>
      <c r="C14" s="36" t="s">
        <v>716</v>
      </c>
      <c r="D14" s="44" t="s">
        <v>68</v>
      </c>
      <c r="E14" s="45">
        <v>844</v>
      </c>
      <c r="F14" s="46"/>
      <c r="G14" s="46"/>
      <c r="H14" s="46"/>
      <c r="I14" s="46"/>
      <c r="J14" s="46"/>
      <c r="K14" s="46"/>
      <c r="L14" s="46"/>
      <c r="M14" s="46"/>
      <c r="N14" s="46"/>
      <c r="O14" s="46"/>
      <c r="P14" s="46"/>
      <c r="Q14" s="45">
        <f t="shared" si="0"/>
        <v>844</v>
      </c>
      <c r="R14" s="59">
        <v>551235.66666666663</v>
      </c>
      <c r="S14" s="60">
        <f t="shared" si="1"/>
        <v>1.5311055706966228</v>
      </c>
    </row>
    <row r="15" spans="2:19" ht="30.75" thickBot="1" x14ac:dyDescent="0.3">
      <c r="B15" s="37" t="s">
        <v>234</v>
      </c>
      <c r="C15" s="36" t="s">
        <v>700</v>
      </c>
      <c r="D15" s="44" t="s">
        <v>52</v>
      </c>
      <c r="E15" s="45">
        <v>806</v>
      </c>
      <c r="F15" s="46"/>
      <c r="G15" s="46"/>
      <c r="H15" s="46"/>
      <c r="I15" s="46"/>
      <c r="J15" s="46"/>
      <c r="K15" s="46"/>
      <c r="L15" s="46"/>
      <c r="M15" s="46"/>
      <c r="N15" s="46"/>
      <c r="O15" s="46"/>
      <c r="P15" s="46"/>
      <c r="Q15" s="45">
        <f t="shared" si="0"/>
        <v>806</v>
      </c>
      <c r="R15" s="59">
        <v>529164.83333333337</v>
      </c>
      <c r="S15" s="60">
        <f t="shared" si="1"/>
        <v>1.5231548833712494</v>
      </c>
    </row>
    <row r="16" spans="2:19" ht="15.75" thickBot="1" x14ac:dyDescent="0.3">
      <c r="B16" s="37" t="s">
        <v>236</v>
      </c>
      <c r="C16" s="36" t="s">
        <v>708</v>
      </c>
      <c r="D16" s="44" t="s">
        <v>54</v>
      </c>
      <c r="E16" s="45">
        <v>292</v>
      </c>
      <c r="F16" s="46"/>
      <c r="G16" s="46"/>
      <c r="H16" s="46"/>
      <c r="I16" s="46"/>
      <c r="J16" s="46"/>
      <c r="K16" s="46"/>
      <c r="L16" s="46"/>
      <c r="M16" s="46"/>
      <c r="N16" s="46"/>
      <c r="O16" s="46"/>
      <c r="P16" s="46"/>
      <c r="Q16" s="45">
        <f t="shared" si="0"/>
        <v>292</v>
      </c>
      <c r="R16" s="59">
        <v>196487.83333333334</v>
      </c>
      <c r="S16" s="60">
        <f t="shared" si="1"/>
        <v>1.4860971035526371</v>
      </c>
    </row>
    <row r="17" spans="2:19" ht="30.75" thickBot="1" x14ac:dyDescent="0.3">
      <c r="B17" s="37" t="s">
        <v>240</v>
      </c>
      <c r="C17" s="36" t="s">
        <v>711</v>
      </c>
      <c r="D17" s="44" t="s">
        <v>58</v>
      </c>
      <c r="E17" s="45">
        <v>757</v>
      </c>
      <c r="F17" s="46"/>
      <c r="G17" s="46"/>
      <c r="H17" s="46"/>
      <c r="I17" s="46"/>
      <c r="J17" s="46"/>
      <c r="K17" s="46"/>
      <c r="L17" s="46"/>
      <c r="M17" s="46"/>
      <c r="N17" s="46"/>
      <c r="O17" s="46"/>
      <c r="P17" s="46"/>
      <c r="Q17" s="45">
        <f t="shared" si="0"/>
        <v>757</v>
      </c>
      <c r="R17" s="59">
        <v>513957.58333333331</v>
      </c>
      <c r="S17" s="60">
        <f t="shared" si="1"/>
        <v>1.4728841922914846</v>
      </c>
    </row>
    <row r="18" spans="2:19" ht="15.75" thickBot="1" x14ac:dyDescent="0.3">
      <c r="B18" s="37" t="s">
        <v>243</v>
      </c>
      <c r="C18" s="36" t="s">
        <v>710</v>
      </c>
      <c r="D18" s="44" t="s">
        <v>61</v>
      </c>
      <c r="E18" s="45">
        <v>254</v>
      </c>
      <c r="F18" s="46"/>
      <c r="G18" s="46"/>
      <c r="H18" s="46"/>
      <c r="I18" s="46"/>
      <c r="J18" s="46"/>
      <c r="K18" s="46"/>
      <c r="L18" s="46"/>
      <c r="M18" s="46"/>
      <c r="N18" s="46"/>
      <c r="O18" s="46"/>
      <c r="P18" s="46"/>
      <c r="Q18" s="45">
        <f t="shared" si="0"/>
        <v>254</v>
      </c>
      <c r="R18" s="59">
        <v>182986.25</v>
      </c>
      <c r="S18" s="60">
        <f t="shared" si="1"/>
        <v>1.3880824378880927</v>
      </c>
    </row>
    <row r="19" spans="2:19" ht="45.75" thickBot="1" x14ac:dyDescent="0.3">
      <c r="B19" s="37" t="s">
        <v>253</v>
      </c>
      <c r="C19" s="36" t="s">
        <v>720</v>
      </c>
      <c r="D19" s="44" t="s">
        <v>71</v>
      </c>
      <c r="E19" s="45">
        <v>1479</v>
      </c>
      <c r="F19" s="46"/>
      <c r="G19" s="46"/>
      <c r="H19" s="46"/>
      <c r="I19" s="46"/>
      <c r="J19" s="46"/>
      <c r="K19" s="46"/>
      <c r="L19" s="46"/>
      <c r="M19" s="46"/>
      <c r="N19" s="46"/>
      <c r="O19" s="46"/>
      <c r="P19" s="46"/>
      <c r="Q19" s="45">
        <f t="shared" si="0"/>
        <v>1479</v>
      </c>
      <c r="R19" s="59">
        <v>1144089.6666666667</v>
      </c>
      <c r="S19" s="60">
        <f t="shared" si="1"/>
        <v>1.2927308436489098</v>
      </c>
    </row>
    <row r="20" spans="2:19" ht="15.75" thickBot="1" x14ac:dyDescent="0.3">
      <c r="B20" s="37" t="s">
        <v>248</v>
      </c>
      <c r="C20" s="36" t="s">
        <v>715</v>
      </c>
      <c r="D20" s="44" t="s">
        <v>66</v>
      </c>
      <c r="E20" s="45">
        <v>1057</v>
      </c>
      <c r="F20" s="46"/>
      <c r="G20" s="46"/>
      <c r="H20" s="46"/>
      <c r="I20" s="46"/>
      <c r="J20" s="46"/>
      <c r="K20" s="46"/>
      <c r="L20" s="46"/>
      <c r="M20" s="46"/>
      <c r="N20" s="46"/>
      <c r="O20" s="46"/>
      <c r="P20" s="46"/>
      <c r="Q20" s="45">
        <f t="shared" si="0"/>
        <v>1057</v>
      </c>
      <c r="R20" s="59">
        <v>826909.66666666663</v>
      </c>
      <c r="S20" s="60">
        <f t="shared" si="1"/>
        <v>1.2782532876424633</v>
      </c>
    </row>
    <row r="21" spans="2:19" ht="15.75" thickBot="1" x14ac:dyDescent="0.3">
      <c r="B21" s="37" t="s">
        <v>235</v>
      </c>
      <c r="C21" s="36" t="s">
        <v>707</v>
      </c>
      <c r="D21" s="44" t="s">
        <v>53</v>
      </c>
      <c r="E21" s="45">
        <v>165</v>
      </c>
      <c r="F21" s="46"/>
      <c r="G21" s="46"/>
      <c r="H21" s="46"/>
      <c r="I21" s="46"/>
      <c r="J21" s="46"/>
      <c r="K21" s="46"/>
      <c r="L21" s="46"/>
      <c r="M21" s="46"/>
      <c r="N21" s="46"/>
      <c r="O21" s="46"/>
      <c r="P21" s="46"/>
      <c r="Q21" s="45">
        <f t="shared" si="0"/>
        <v>165</v>
      </c>
      <c r="R21" s="59">
        <v>146054.66666666666</v>
      </c>
      <c r="S21" s="60">
        <f t="shared" si="1"/>
        <v>1.1297139883696516</v>
      </c>
    </row>
    <row r="22" spans="2:19" ht="15.75" thickBot="1" x14ac:dyDescent="0.3">
      <c r="B22" s="37" t="s">
        <v>245</v>
      </c>
      <c r="C22" s="36" t="s">
        <v>714</v>
      </c>
      <c r="D22" s="44" t="s">
        <v>63</v>
      </c>
      <c r="E22" s="45">
        <v>438</v>
      </c>
      <c r="F22" s="46"/>
      <c r="G22" s="46"/>
      <c r="H22" s="46"/>
      <c r="I22" s="46"/>
      <c r="J22" s="46"/>
      <c r="K22" s="46"/>
      <c r="L22" s="46"/>
      <c r="M22" s="46"/>
      <c r="N22" s="46"/>
      <c r="O22" s="46"/>
      <c r="P22" s="46"/>
      <c r="Q22" s="45">
        <f t="shared" si="0"/>
        <v>438</v>
      </c>
      <c r="R22" s="59">
        <v>418094.91666666669</v>
      </c>
      <c r="S22" s="60">
        <f t="shared" si="1"/>
        <v>1.047609005849748</v>
      </c>
    </row>
    <row r="23" spans="2:19" ht="15.75" thickBot="1" x14ac:dyDescent="0.3">
      <c r="B23" s="37" t="s">
        <v>242</v>
      </c>
      <c r="C23" s="36" t="s">
        <v>713</v>
      </c>
      <c r="D23" s="44" t="s">
        <v>60</v>
      </c>
      <c r="E23" s="45">
        <v>323</v>
      </c>
      <c r="F23" s="46"/>
      <c r="G23" s="46"/>
      <c r="H23" s="46"/>
      <c r="I23" s="46"/>
      <c r="J23" s="46"/>
      <c r="K23" s="46"/>
      <c r="L23" s="46"/>
      <c r="M23" s="46"/>
      <c r="N23" s="46"/>
      <c r="O23" s="46"/>
      <c r="P23" s="46"/>
      <c r="Q23" s="45">
        <f t="shared" si="0"/>
        <v>323</v>
      </c>
      <c r="R23" s="59">
        <v>344558.66666666669</v>
      </c>
      <c r="S23" s="60">
        <f t="shared" si="1"/>
        <v>0.93743107124476133</v>
      </c>
    </row>
    <row r="24" spans="2:19" ht="45.75" thickBot="1" x14ac:dyDescent="0.3">
      <c r="B24" s="37" t="s">
        <v>238</v>
      </c>
      <c r="C24" s="36" t="s">
        <v>706</v>
      </c>
      <c r="D24" s="44" t="s">
        <v>56</v>
      </c>
      <c r="E24" s="45">
        <v>51</v>
      </c>
      <c r="F24" s="46"/>
      <c r="G24" s="46"/>
      <c r="H24" s="46"/>
      <c r="I24" s="46"/>
      <c r="J24" s="46"/>
      <c r="K24" s="46"/>
      <c r="L24" s="46"/>
      <c r="M24" s="46"/>
      <c r="N24" s="46"/>
      <c r="O24" s="46"/>
      <c r="P24" s="46"/>
      <c r="Q24" s="45">
        <f t="shared" si="0"/>
        <v>51</v>
      </c>
      <c r="R24" s="59">
        <v>57876</v>
      </c>
      <c r="S24" s="60">
        <f t="shared" si="1"/>
        <v>0.88119427742069245</v>
      </c>
    </row>
    <row r="25" spans="2:19" ht="15.75" thickBot="1" x14ac:dyDescent="0.3">
      <c r="B25" s="37" t="s">
        <v>252</v>
      </c>
      <c r="C25" s="36" t="s">
        <v>718</v>
      </c>
      <c r="D25" s="44" t="s">
        <v>70</v>
      </c>
      <c r="E25" s="45">
        <v>413</v>
      </c>
      <c r="F25" s="46"/>
      <c r="G25" s="46"/>
      <c r="H25" s="46"/>
      <c r="I25" s="46"/>
      <c r="J25" s="46"/>
      <c r="K25" s="46"/>
      <c r="L25" s="46"/>
      <c r="M25" s="46"/>
      <c r="N25" s="46"/>
      <c r="O25" s="46"/>
      <c r="P25" s="46"/>
      <c r="Q25" s="45">
        <f t="shared" si="0"/>
        <v>413</v>
      </c>
      <c r="R25" s="59">
        <v>509098.91666666669</v>
      </c>
      <c r="S25" s="60">
        <f t="shared" si="1"/>
        <v>0.81123723991424712</v>
      </c>
    </row>
    <row r="26" spans="2:19" ht="15.75" thickBot="1" x14ac:dyDescent="0.3">
      <c r="B26" s="37" t="s">
        <v>254</v>
      </c>
      <c r="C26" s="36" t="s">
        <v>722</v>
      </c>
      <c r="D26" s="44" t="s">
        <v>72</v>
      </c>
      <c r="E26" s="45">
        <v>42</v>
      </c>
      <c r="F26" s="46"/>
      <c r="G26" s="46"/>
      <c r="H26" s="46"/>
      <c r="I26" s="46"/>
      <c r="J26" s="46"/>
      <c r="K26" s="46"/>
      <c r="L26" s="46"/>
      <c r="M26" s="46"/>
      <c r="N26" s="46"/>
      <c r="O26" s="46"/>
      <c r="P26" s="46"/>
      <c r="Q26" s="45">
        <f t="shared" si="0"/>
        <v>42</v>
      </c>
      <c r="R26" s="59">
        <v>55185.166666666664</v>
      </c>
      <c r="S26" s="60">
        <f t="shared" si="1"/>
        <v>0.76107408089734252</v>
      </c>
    </row>
    <row r="27" spans="2:19" ht="15.75" thickBot="1" x14ac:dyDescent="0.3">
      <c r="B27" s="37" t="s">
        <v>241</v>
      </c>
      <c r="C27" s="36" t="s">
        <v>712</v>
      </c>
      <c r="D27" s="44" t="s">
        <v>59</v>
      </c>
      <c r="E27" s="45">
        <v>66</v>
      </c>
      <c r="F27" s="46"/>
      <c r="G27" s="46"/>
      <c r="H27" s="46"/>
      <c r="I27" s="46"/>
      <c r="J27" s="46"/>
      <c r="K27" s="46"/>
      <c r="L27" s="46"/>
      <c r="M27" s="46"/>
      <c r="N27" s="46"/>
      <c r="O27" s="46"/>
      <c r="P27" s="46"/>
      <c r="Q27" s="45">
        <f t="shared" si="0"/>
        <v>66</v>
      </c>
      <c r="R27" s="59">
        <v>90003.583333333328</v>
      </c>
      <c r="S27" s="60">
        <f t="shared" si="1"/>
        <v>0.73330413696491725</v>
      </c>
    </row>
    <row r="28" spans="2:19" ht="15.75" thickBot="1" x14ac:dyDescent="0.3">
      <c r="B28" s="37" t="s">
        <v>251</v>
      </c>
      <c r="C28" s="36" t="s">
        <v>721</v>
      </c>
      <c r="D28" s="44" t="s">
        <v>69</v>
      </c>
      <c r="E28" s="45">
        <v>125</v>
      </c>
      <c r="F28" s="46"/>
      <c r="G28" s="46"/>
      <c r="H28" s="46"/>
      <c r="I28" s="46"/>
      <c r="J28" s="46"/>
      <c r="K28" s="46"/>
      <c r="L28" s="46"/>
      <c r="M28" s="46"/>
      <c r="N28" s="46"/>
      <c r="O28" s="46"/>
      <c r="P28" s="46"/>
      <c r="Q28" s="45">
        <f t="shared" si="0"/>
        <v>125</v>
      </c>
      <c r="R28" s="59">
        <v>175881.83333333334</v>
      </c>
      <c r="S28" s="60">
        <f t="shared" si="1"/>
        <v>0.71070444076562755</v>
      </c>
    </row>
    <row r="29" spans="2:19" ht="15.75" thickBot="1" x14ac:dyDescent="0.3">
      <c r="B29" s="37" t="s">
        <v>247</v>
      </c>
      <c r="C29" s="36" t="s">
        <v>717</v>
      </c>
      <c r="D29" s="44" t="s">
        <v>65</v>
      </c>
      <c r="E29" s="45">
        <v>32</v>
      </c>
      <c r="F29" s="46"/>
      <c r="G29" s="46"/>
      <c r="H29" s="46"/>
      <c r="I29" s="46"/>
      <c r="J29" s="46"/>
      <c r="K29" s="46"/>
      <c r="L29" s="46"/>
      <c r="M29" s="46"/>
      <c r="N29" s="46"/>
      <c r="O29" s="46"/>
      <c r="P29" s="46"/>
      <c r="Q29" s="45">
        <f t="shared" si="0"/>
        <v>32</v>
      </c>
      <c r="R29" s="59">
        <v>52813.333333333336</v>
      </c>
      <c r="S29" s="60">
        <f t="shared" si="1"/>
        <v>0.60590759909113856</v>
      </c>
    </row>
    <row r="30" spans="2:19" ht="15.75" thickBot="1" x14ac:dyDescent="0.3">
      <c r="B30" s="37" t="s">
        <v>255</v>
      </c>
      <c r="C30" s="36" t="s">
        <v>723</v>
      </c>
      <c r="D30" s="44" t="s">
        <v>73</v>
      </c>
      <c r="E30" s="45">
        <v>137</v>
      </c>
      <c r="F30" s="46"/>
      <c r="G30" s="46"/>
      <c r="H30" s="46"/>
      <c r="I30" s="46"/>
      <c r="J30" s="46"/>
      <c r="K30" s="46"/>
      <c r="L30" s="46"/>
      <c r="M30" s="46"/>
      <c r="N30" s="46"/>
      <c r="O30" s="46"/>
      <c r="P30" s="46"/>
      <c r="Q30" s="45">
        <f t="shared" si="0"/>
        <v>137</v>
      </c>
      <c r="R30" s="59">
        <v>261019</v>
      </c>
      <c r="S30" s="60">
        <f t="shared" si="1"/>
        <v>0.52486600592294042</v>
      </c>
    </row>
    <row r="31" spans="2:19" ht="15.75" thickBot="1" x14ac:dyDescent="0.3">
      <c r="B31" s="37" t="s">
        <v>249</v>
      </c>
      <c r="C31" s="36" t="s">
        <v>719</v>
      </c>
      <c r="D31" s="44" t="s">
        <v>67</v>
      </c>
      <c r="E31" s="45">
        <v>11</v>
      </c>
      <c r="F31" s="46"/>
      <c r="G31" s="46"/>
      <c r="H31" s="46"/>
      <c r="I31" s="46"/>
      <c r="J31" s="46"/>
      <c r="K31" s="46"/>
      <c r="L31" s="46"/>
      <c r="M31" s="46"/>
      <c r="N31" s="46"/>
      <c r="O31" s="46"/>
      <c r="P31" s="46"/>
      <c r="Q31" s="45">
        <f t="shared" si="0"/>
        <v>11</v>
      </c>
      <c r="R31" s="59">
        <v>30858.583333333332</v>
      </c>
      <c r="S31" s="60">
        <f t="shared" si="1"/>
        <v>0.35646484095456965</v>
      </c>
    </row>
    <row r="32" spans="2:19" ht="15.75" thickBot="1" x14ac:dyDescent="0.3">
      <c r="B32" s="37" t="s">
        <v>244</v>
      </c>
      <c r="C32" s="36" t="s">
        <v>709</v>
      </c>
      <c r="D32" s="44" t="s">
        <v>62</v>
      </c>
      <c r="E32" s="45">
        <v>8</v>
      </c>
      <c r="F32" s="46"/>
      <c r="G32" s="46"/>
      <c r="H32" s="46"/>
      <c r="I32" s="46"/>
      <c r="J32" s="46"/>
      <c r="K32" s="46"/>
      <c r="L32" s="46"/>
      <c r="M32" s="46"/>
      <c r="N32" s="46"/>
      <c r="O32" s="46"/>
      <c r="P32" s="46"/>
      <c r="Q32" s="45">
        <f t="shared" si="0"/>
        <v>8</v>
      </c>
      <c r="R32" s="59">
        <v>23765.75</v>
      </c>
      <c r="S32" s="60">
        <f t="shared" si="1"/>
        <v>0.33661887379948036</v>
      </c>
    </row>
    <row r="33" spans="2:19" ht="30.75" thickBot="1" x14ac:dyDescent="0.3">
      <c r="B33" s="37" t="s">
        <v>239</v>
      </c>
      <c r="C33" s="36" t="s">
        <v>704</v>
      </c>
      <c r="D33" s="44" t="s">
        <v>57</v>
      </c>
      <c r="E33" s="45">
        <v>6</v>
      </c>
      <c r="F33" s="46"/>
      <c r="G33" s="46"/>
      <c r="H33" s="46"/>
      <c r="I33" s="46"/>
      <c r="J33" s="46"/>
      <c r="K33" s="46"/>
      <c r="L33" s="46"/>
      <c r="M33" s="46"/>
      <c r="N33" s="46"/>
      <c r="O33" s="46"/>
      <c r="P33" s="46"/>
      <c r="Q33" s="45">
        <f t="shared" si="0"/>
        <v>6</v>
      </c>
      <c r="R33" s="59">
        <v>21753.333333333332</v>
      </c>
      <c r="S33" s="60">
        <f t="shared" si="1"/>
        <v>0.27581979773214838</v>
      </c>
    </row>
    <row r="34" spans="2:19" ht="30.75" thickBot="1" x14ac:dyDescent="0.3">
      <c r="B34" s="1"/>
      <c r="C34" s="34"/>
      <c r="D34" s="47" t="s">
        <v>15</v>
      </c>
      <c r="E34" s="50">
        <f t="shared" ref="E34:Q34" si="2">SUM(E2:E33)</f>
        <v>48662</v>
      </c>
      <c r="F34" s="50">
        <f t="shared" si="2"/>
        <v>0</v>
      </c>
      <c r="G34" s="50">
        <f t="shared" si="2"/>
        <v>0</v>
      </c>
      <c r="H34" s="50">
        <f t="shared" si="2"/>
        <v>0</v>
      </c>
      <c r="I34" s="50">
        <f t="shared" si="2"/>
        <v>0</v>
      </c>
      <c r="J34" s="50">
        <f t="shared" si="2"/>
        <v>0</v>
      </c>
      <c r="K34" s="50">
        <f t="shared" si="2"/>
        <v>0</v>
      </c>
      <c r="L34" s="50">
        <f t="shared" si="2"/>
        <v>0</v>
      </c>
      <c r="M34" s="50">
        <f t="shared" si="2"/>
        <v>0</v>
      </c>
      <c r="N34" s="50">
        <f t="shared" si="2"/>
        <v>0</v>
      </c>
      <c r="O34" s="50">
        <f t="shared" si="2"/>
        <v>0</v>
      </c>
      <c r="P34" s="50">
        <f t="shared" si="2"/>
        <v>0</v>
      </c>
      <c r="Q34" s="50">
        <f t="shared" si="2"/>
        <v>48662</v>
      </c>
      <c r="R34" s="61">
        <f>+AVERAGE(R2:R33)</f>
        <v>747217.38020833337</v>
      </c>
      <c r="S34" s="55" t="s">
        <v>726</v>
      </c>
    </row>
    <row r="36" spans="2:19" ht="15.75" thickBot="1" x14ac:dyDescent="0.3"/>
    <row r="37" spans="2:19" ht="15.75" thickBot="1" x14ac:dyDescent="0.3">
      <c r="E37" s="169" t="s">
        <v>691</v>
      </c>
      <c r="F37" s="170"/>
      <c r="G37" s="170"/>
      <c r="H37" s="170"/>
      <c r="I37" s="170"/>
      <c r="J37" s="170"/>
      <c r="K37" s="170"/>
      <c r="L37" s="170"/>
      <c r="M37" s="170"/>
      <c r="N37" s="170"/>
      <c r="O37" s="170"/>
      <c r="P37" s="171"/>
    </row>
    <row r="38" spans="2:19" ht="45.75" thickBot="1" x14ac:dyDescent="0.3">
      <c r="B38" s="11" t="s">
        <v>223</v>
      </c>
      <c r="C38" s="36" t="s">
        <v>223</v>
      </c>
      <c r="D38" s="47" t="s">
        <v>41</v>
      </c>
      <c r="E38" s="48" t="s">
        <v>2</v>
      </c>
      <c r="F38" s="48" t="s">
        <v>3</v>
      </c>
      <c r="G38" s="48" t="s">
        <v>4</v>
      </c>
      <c r="H38" s="48" t="s">
        <v>5</v>
      </c>
      <c r="I38" s="48" t="s">
        <v>6</v>
      </c>
      <c r="J38" s="48" t="s">
        <v>7</v>
      </c>
      <c r="K38" s="48" t="s">
        <v>8</v>
      </c>
      <c r="L38" s="48" t="s">
        <v>9</v>
      </c>
      <c r="M38" s="48" t="s">
        <v>10</v>
      </c>
      <c r="N38" s="48" t="s">
        <v>11</v>
      </c>
      <c r="O38" s="48" t="s">
        <v>12</v>
      </c>
      <c r="P38" s="48" t="s">
        <v>13</v>
      </c>
      <c r="Q38" s="68">
        <v>44197</v>
      </c>
      <c r="R38" s="53" t="s">
        <v>724</v>
      </c>
      <c r="S38" s="53" t="s">
        <v>158</v>
      </c>
    </row>
    <row r="39" spans="2:19" ht="15.75" thickBot="1" x14ac:dyDescent="0.3">
      <c r="B39" s="37" t="s">
        <v>225</v>
      </c>
      <c r="C39" s="36" t="s">
        <v>692</v>
      </c>
      <c r="D39" s="44" t="s">
        <v>43</v>
      </c>
      <c r="E39" s="45"/>
      <c r="F39" s="46">
        <v>391110</v>
      </c>
      <c r="G39" s="46">
        <v>395506</v>
      </c>
      <c r="H39" s="46">
        <v>395543</v>
      </c>
      <c r="I39" s="46">
        <v>394802</v>
      </c>
      <c r="J39" s="46">
        <v>396002</v>
      </c>
      <c r="K39" s="46">
        <v>397942</v>
      </c>
      <c r="L39" s="46">
        <v>399246</v>
      </c>
      <c r="M39" s="46">
        <v>401393</v>
      </c>
      <c r="N39" s="46">
        <v>403237</v>
      </c>
      <c r="O39" s="46">
        <v>404247</v>
      </c>
      <c r="P39" s="46">
        <v>405088</v>
      </c>
      <c r="Q39" s="45">
        <v>404873</v>
      </c>
      <c r="R39" s="59">
        <f>+AVERAGE(F39:Q39)</f>
        <v>399082.41666666669</v>
      </c>
      <c r="S39" s="60">
        <f t="shared" ref="S39:S70" si="3">+Q39/R39*1000</f>
        <v>1014.5097430793847</v>
      </c>
    </row>
    <row r="40" spans="2:19" ht="15.75" thickBot="1" x14ac:dyDescent="0.3">
      <c r="B40" s="37" t="s">
        <v>227</v>
      </c>
      <c r="C40" s="36" t="s">
        <v>693</v>
      </c>
      <c r="D40" s="44" t="s">
        <v>45</v>
      </c>
      <c r="E40" s="45"/>
      <c r="F40" s="46">
        <v>320069</v>
      </c>
      <c r="G40" s="46">
        <v>324747</v>
      </c>
      <c r="H40" s="46">
        <v>323266</v>
      </c>
      <c r="I40" s="46">
        <v>322931</v>
      </c>
      <c r="J40" s="46">
        <v>324380</v>
      </c>
      <c r="K40" s="46">
        <v>326834</v>
      </c>
      <c r="L40" s="46">
        <v>329698</v>
      </c>
      <c r="M40" s="46">
        <v>331770</v>
      </c>
      <c r="N40" s="46">
        <v>333435</v>
      </c>
      <c r="O40" s="46">
        <v>335019</v>
      </c>
      <c r="P40" s="46">
        <v>336364</v>
      </c>
      <c r="Q40" s="45">
        <v>337382</v>
      </c>
      <c r="R40" s="59">
        <f t="shared" ref="R40:R70" si="4">+AVERAGE(F40:Q40)</f>
        <v>328824.58333333331</v>
      </c>
      <c r="S40" s="60">
        <f t="shared" si="3"/>
        <v>1026.0242606556942</v>
      </c>
    </row>
    <row r="41" spans="2:19" ht="15.75" thickBot="1" x14ac:dyDescent="0.3">
      <c r="B41" s="37" t="s">
        <v>224</v>
      </c>
      <c r="C41" s="36" t="s">
        <v>694</v>
      </c>
      <c r="D41" s="44" t="s">
        <v>42</v>
      </c>
      <c r="E41" s="45"/>
      <c r="F41" s="46">
        <v>302609</v>
      </c>
      <c r="G41" s="46">
        <v>304848</v>
      </c>
      <c r="H41" s="46">
        <v>305072</v>
      </c>
      <c r="I41" s="46">
        <v>304626</v>
      </c>
      <c r="J41" s="46">
        <v>305648</v>
      </c>
      <c r="K41" s="46">
        <v>305467</v>
      </c>
      <c r="L41" s="46">
        <v>306910</v>
      </c>
      <c r="M41" s="46">
        <v>309443</v>
      </c>
      <c r="N41" s="46">
        <v>310291</v>
      </c>
      <c r="O41" s="46">
        <v>311253</v>
      </c>
      <c r="P41" s="46">
        <v>311862</v>
      </c>
      <c r="Q41" s="45">
        <v>312017</v>
      </c>
      <c r="R41" s="59">
        <f t="shared" si="4"/>
        <v>307503.83333333331</v>
      </c>
      <c r="S41" s="60">
        <f t="shared" si="3"/>
        <v>1014.6767818070562</v>
      </c>
    </row>
    <row r="42" spans="2:19" ht="15.75" thickBot="1" x14ac:dyDescent="0.3">
      <c r="B42" s="37" t="s">
        <v>229</v>
      </c>
      <c r="C42" s="36" t="s">
        <v>695</v>
      </c>
      <c r="D42" s="44" t="s">
        <v>47</v>
      </c>
      <c r="E42" s="45"/>
      <c r="F42" s="46">
        <v>406511</v>
      </c>
      <c r="G42" s="46">
        <v>410061</v>
      </c>
      <c r="H42" s="46">
        <v>406902</v>
      </c>
      <c r="I42" s="46">
        <v>405772</v>
      </c>
      <c r="J42" s="46">
        <v>408424</v>
      </c>
      <c r="K42" s="46">
        <v>412727</v>
      </c>
      <c r="L42" s="46">
        <v>415969</v>
      </c>
      <c r="M42" s="46">
        <v>418707</v>
      </c>
      <c r="N42" s="46">
        <v>420350</v>
      </c>
      <c r="O42" s="46">
        <v>421374</v>
      </c>
      <c r="P42" s="46">
        <v>421265</v>
      </c>
      <c r="Q42" s="45">
        <v>421236</v>
      </c>
      <c r="R42" s="59">
        <f t="shared" si="4"/>
        <v>414108.16666666669</v>
      </c>
      <c r="S42" s="60">
        <f t="shared" si="3"/>
        <v>1017.2124915833181</v>
      </c>
    </row>
    <row r="43" spans="2:19" ht="15.75" thickBot="1" x14ac:dyDescent="0.3">
      <c r="B43" s="37" t="s">
        <v>228</v>
      </c>
      <c r="C43" s="36" t="s">
        <v>696</v>
      </c>
      <c r="D43" s="44" t="s">
        <v>46</v>
      </c>
      <c r="E43" s="45"/>
      <c r="F43" s="46">
        <v>522096</v>
      </c>
      <c r="G43" s="46">
        <v>527127</v>
      </c>
      <c r="H43" s="46">
        <v>524182</v>
      </c>
      <c r="I43" s="46">
        <v>524881</v>
      </c>
      <c r="J43" s="46">
        <v>528757</v>
      </c>
      <c r="K43" s="46">
        <v>533380</v>
      </c>
      <c r="L43" s="46">
        <v>537813</v>
      </c>
      <c r="M43" s="46">
        <v>541004</v>
      </c>
      <c r="N43" s="46">
        <v>543119</v>
      </c>
      <c r="O43" s="46">
        <v>545754</v>
      </c>
      <c r="P43" s="46">
        <v>546366</v>
      </c>
      <c r="Q43" s="45">
        <v>546677</v>
      </c>
      <c r="R43" s="59">
        <f t="shared" si="4"/>
        <v>535096.33333333337</v>
      </c>
      <c r="S43" s="60">
        <f t="shared" si="3"/>
        <v>1021.6422089729638</v>
      </c>
    </row>
    <row r="44" spans="2:19" ht="30.75" thickBot="1" x14ac:dyDescent="0.3">
      <c r="B44" s="37" t="s">
        <v>226</v>
      </c>
      <c r="C44" s="36" t="s">
        <v>697</v>
      </c>
      <c r="D44" s="44" t="s">
        <v>44</v>
      </c>
      <c r="E44" s="45"/>
      <c r="F44" s="46">
        <v>687939</v>
      </c>
      <c r="G44" s="46">
        <v>697014</v>
      </c>
      <c r="H44" s="46">
        <v>693881</v>
      </c>
      <c r="I44" s="46">
        <v>696850</v>
      </c>
      <c r="J44" s="46">
        <v>701163</v>
      </c>
      <c r="K44" s="46">
        <v>706873</v>
      </c>
      <c r="L44" s="46">
        <v>712741</v>
      </c>
      <c r="M44" s="46">
        <v>716721</v>
      </c>
      <c r="N44" s="46">
        <v>718046</v>
      </c>
      <c r="O44" s="46">
        <v>720919</v>
      </c>
      <c r="P44" s="46">
        <v>721910</v>
      </c>
      <c r="Q44" s="45">
        <v>721236</v>
      </c>
      <c r="R44" s="59">
        <f t="shared" si="4"/>
        <v>707941.08333333337</v>
      </c>
      <c r="S44" s="60">
        <f t="shared" si="3"/>
        <v>1018.7796936491773</v>
      </c>
    </row>
    <row r="45" spans="2:19" ht="15.75" thickBot="1" x14ac:dyDescent="0.3">
      <c r="B45" s="37" t="s">
        <v>230</v>
      </c>
      <c r="C45" s="36" t="s">
        <v>698</v>
      </c>
      <c r="D45" s="44" t="s">
        <v>48</v>
      </c>
      <c r="E45" s="45"/>
      <c r="F45" s="46">
        <v>546157</v>
      </c>
      <c r="G45" s="46">
        <v>550920</v>
      </c>
      <c r="H45" s="46">
        <v>548135</v>
      </c>
      <c r="I45" s="46">
        <v>548225</v>
      </c>
      <c r="J45" s="46">
        <v>551440</v>
      </c>
      <c r="K45" s="46">
        <v>555948</v>
      </c>
      <c r="L45" s="46">
        <v>558565</v>
      </c>
      <c r="M45" s="46">
        <v>563014</v>
      </c>
      <c r="N45" s="46">
        <v>565099</v>
      </c>
      <c r="O45" s="46">
        <v>567228</v>
      </c>
      <c r="P45" s="46">
        <v>566921</v>
      </c>
      <c r="Q45" s="45">
        <v>566354</v>
      </c>
      <c r="R45" s="59">
        <f t="shared" si="4"/>
        <v>557333.83333333337</v>
      </c>
      <c r="S45" s="60">
        <f t="shared" si="3"/>
        <v>1016.1844950497951</v>
      </c>
    </row>
    <row r="46" spans="2:19" ht="15.75" thickBot="1" x14ac:dyDescent="0.3">
      <c r="B46" s="37" t="s">
        <v>233</v>
      </c>
      <c r="C46" s="36" t="s">
        <v>699</v>
      </c>
      <c r="D46" s="44" t="s">
        <v>51</v>
      </c>
      <c r="E46" s="45"/>
      <c r="F46" s="46">
        <v>2751797</v>
      </c>
      <c r="G46" s="46">
        <v>2766748</v>
      </c>
      <c r="H46" s="46">
        <v>2772779</v>
      </c>
      <c r="I46" s="46">
        <v>2764734</v>
      </c>
      <c r="J46" s="46">
        <v>2775697</v>
      </c>
      <c r="K46" s="46">
        <v>2790982</v>
      </c>
      <c r="L46" s="46">
        <v>2809084</v>
      </c>
      <c r="M46" s="46">
        <v>2816120</v>
      </c>
      <c r="N46" s="46">
        <v>2824443</v>
      </c>
      <c r="O46" s="46">
        <v>2834321</v>
      </c>
      <c r="P46" s="46">
        <v>2830381</v>
      </c>
      <c r="Q46" s="45">
        <v>2828087</v>
      </c>
      <c r="R46" s="59">
        <f t="shared" si="4"/>
        <v>2797097.75</v>
      </c>
      <c r="S46" s="60">
        <f t="shared" si="3"/>
        <v>1011.07907294266</v>
      </c>
    </row>
    <row r="47" spans="2:19" ht="30.75" thickBot="1" x14ac:dyDescent="0.3">
      <c r="B47" s="37" t="s">
        <v>234</v>
      </c>
      <c r="C47" s="36" t="s">
        <v>700</v>
      </c>
      <c r="D47" s="44" t="s">
        <v>52</v>
      </c>
      <c r="E47" s="45"/>
      <c r="F47" s="46">
        <v>517317</v>
      </c>
      <c r="G47" s="46">
        <v>523980</v>
      </c>
      <c r="H47" s="46">
        <v>522331</v>
      </c>
      <c r="I47" s="46">
        <v>521186</v>
      </c>
      <c r="J47" s="46">
        <v>523398</v>
      </c>
      <c r="K47" s="46">
        <v>526851</v>
      </c>
      <c r="L47" s="46">
        <v>528998</v>
      </c>
      <c r="M47" s="46">
        <v>532829</v>
      </c>
      <c r="N47" s="46">
        <v>536466</v>
      </c>
      <c r="O47" s="46">
        <v>538296</v>
      </c>
      <c r="P47" s="46">
        <v>538875</v>
      </c>
      <c r="Q47" s="45">
        <v>539451</v>
      </c>
      <c r="R47" s="59">
        <f t="shared" si="4"/>
        <v>529164.83333333337</v>
      </c>
      <c r="S47" s="60">
        <f t="shared" si="3"/>
        <v>1019.4384925428088</v>
      </c>
    </row>
    <row r="48" spans="2:19" ht="15.75" thickBot="1" x14ac:dyDescent="0.3">
      <c r="B48" s="37" t="s">
        <v>231</v>
      </c>
      <c r="C48" s="36" t="s">
        <v>701</v>
      </c>
      <c r="D48" s="44" t="s">
        <v>49</v>
      </c>
      <c r="E48" s="45"/>
      <c r="F48" s="46">
        <v>2292471</v>
      </c>
      <c r="G48" s="46">
        <v>2311260</v>
      </c>
      <c r="H48" s="46">
        <v>2305094</v>
      </c>
      <c r="I48" s="46">
        <v>2302942</v>
      </c>
      <c r="J48" s="46">
        <v>2312167</v>
      </c>
      <c r="K48" s="46">
        <v>2322563</v>
      </c>
      <c r="L48" s="46">
        <v>2337355</v>
      </c>
      <c r="M48" s="46">
        <v>2351957</v>
      </c>
      <c r="N48" s="46">
        <v>2359503</v>
      </c>
      <c r="O48" s="46">
        <v>2367821</v>
      </c>
      <c r="P48" s="46">
        <v>2374657</v>
      </c>
      <c r="Q48" s="45">
        <v>2374310</v>
      </c>
      <c r="R48" s="59">
        <f t="shared" si="4"/>
        <v>2334341.6666666665</v>
      </c>
      <c r="S48" s="60">
        <f t="shared" si="3"/>
        <v>1017.1218866132849</v>
      </c>
    </row>
    <row r="49" spans="2:19" ht="30.75" thickBot="1" x14ac:dyDescent="0.3">
      <c r="B49" s="37" t="s">
        <v>232</v>
      </c>
      <c r="C49" s="36" t="s">
        <v>702</v>
      </c>
      <c r="D49" s="44" t="s">
        <v>50</v>
      </c>
      <c r="E49" s="45"/>
      <c r="F49" s="46">
        <v>7683568</v>
      </c>
      <c r="G49" s="46">
        <v>7758720</v>
      </c>
      <c r="H49" s="46">
        <v>7718146</v>
      </c>
      <c r="I49" s="46">
        <v>7716585</v>
      </c>
      <c r="J49" s="46">
        <v>7744017</v>
      </c>
      <c r="K49" s="46">
        <v>7814802</v>
      </c>
      <c r="L49" s="46">
        <v>7868323</v>
      </c>
      <c r="M49" s="46">
        <v>7946482</v>
      </c>
      <c r="N49" s="46">
        <v>7967695</v>
      </c>
      <c r="O49" s="46">
        <v>7977359</v>
      </c>
      <c r="P49" s="46">
        <v>7982041</v>
      </c>
      <c r="Q49" s="45">
        <v>7964348</v>
      </c>
      <c r="R49" s="59">
        <f t="shared" si="4"/>
        <v>7845173.833333333</v>
      </c>
      <c r="S49" s="60">
        <f t="shared" si="3"/>
        <v>1015.1907617598362</v>
      </c>
    </row>
    <row r="50" spans="2:19" ht="30.75" thickBot="1" x14ac:dyDescent="0.3">
      <c r="B50" s="37" t="s">
        <v>246</v>
      </c>
      <c r="C50" s="36" t="s">
        <v>703</v>
      </c>
      <c r="D50" s="44" t="s">
        <v>64</v>
      </c>
      <c r="E50" s="45"/>
      <c r="F50" s="46">
        <v>54904</v>
      </c>
      <c r="G50" s="46">
        <v>55728</v>
      </c>
      <c r="H50" s="46">
        <v>55688</v>
      </c>
      <c r="I50" s="46">
        <v>55577</v>
      </c>
      <c r="J50" s="46">
        <v>55795</v>
      </c>
      <c r="K50" s="46">
        <v>55947</v>
      </c>
      <c r="L50" s="46">
        <v>56331</v>
      </c>
      <c r="M50" s="46">
        <v>57181</v>
      </c>
      <c r="N50" s="46">
        <v>57744</v>
      </c>
      <c r="O50" s="46">
        <v>59314</v>
      </c>
      <c r="P50" s="46">
        <v>59222</v>
      </c>
      <c r="Q50" s="45">
        <v>59422</v>
      </c>
      <c r="R50" s="59">
        <f t="shared" si="4"/>
        <v>56904.416666666664</v>
      </c>
      <c r="S50" s="60">
        <f t="shared" si="3"/>
        <v>1044.2423186249457</v>
      </c>
    </row>
    <row r="51" spans="2:19" ht="30.75" thickBot="1" x14ac:dyDescent="0.3">
      <c r="B51" s="37" t="s">
        <v>239</v>
      </c>
      <c r="C51" s="36" t="s">
        <v>704</v>
      </c>
      <c r="D51" s="44" t="s">
        <v>57</v>
      </c>
      <c r="E51" s="45"/>
      <c r="F51" s="46">
        <v>20940</v>
      </c>
      <c r="G51" s="46">
        <v>21382</v>
      </c>
      <c r="H51" s="46">
        <v>21525</v>
      </c>
      <c r="I51" s="46">
        <v>21571</v>
      </c>
      <c r="J51" s="46">
        <v>21708</v>
      </c>
      <c r="K51" s="46">
        <v>21788</v>
      </c>
      <c r="L51" s="46">
        <v>21887</v>
      </c>
      <c r="M51" s="46">
        <v>21927</v>
      </c>
      <c r="N51" s="46">
        <v>21994</v>
      </c>
      <c r="O51" s="46">
        <v>22041</v>
      </c>
      <c r="P51" s="46">
        <v>22117</v>
      </c>
      <c r="Q51" s="45">
        <v>22160</v>
      </c>
      <c r="R51" s="59">
        <f t="shared" si="4"/>
        <v>21753.333333333332</v>
      </c>
      <c r="S51" s="60">
        <f t="shared" si="3"/>
        <v>1018.6944529574012</v>
      </c>
    </row>
    <row r="52" spans="2:19" ht="30.75" thickBot="1" x14ac:dyDescent="0.3">
      <c r="B52" s="37" t="s">
        <v>237</v>
      </c>
      <c r="C52" s="36" t="s">
        <v>705</v>
      </c>
      <c r="D52" s="44" t="s">
        <v>55</v>
      </c>
      <c r="E52" s="45"/>
      <c r="F52" s="46">
        <v>1469219</v>
      </c>
      <c r="G52" s="46">
        <v>1477153</v>
      </c>
      <c r="H52" s="46">
        <v>1478780</v>
      </c>
      <c r="I52" s="46">
        <v>1478715</v>
      </c>
      <c r="J52" s="46">
        <v>1480509</v>
      </c>
      <c r="K52" s="46">
        <v>1489691</v>
      </c>
      <c r="L52" s="46">
        <v>1498107</v>
      </c>
      <c r="M52" s="46">
        <v>1505410</v>
      </c>
      <c r="N52" s="46">
        <v>1509922</v>
      </c>
      <c r="O52" s="46">
        <v>1518392</v>
      </c>
      <c r="P52" s="46">
        <v>1521046</v>
      </c>
      <c r="Q52" s="45">
        <v>1522092</v>
      </c>
      <c r="R52" s="59">
        <f t="shared" si="4"/>
        <v>1495753</v>
      </c>
      <c r="S52" s="60">
        <f t="shared" si="3"/>
        <v>1017.6091908222816</v>
      </c>
    </row>
    <row r="53" spans="2:19" ht="45.75" thickBot="1" x14ac:dyDescent="0.3">
      <c r="B53" s="37" t="s">
        <v>238</v>
      </c>
      <c r="C53" s="36" t="s">
        <v>706</v>
      </c>
      <c r="D53" s="44" t="s">
        <v>56</v>
      </c>
      <c r="E53" s="45"/>
      <c r="F53" s="46">
        <v>56214</v>
      </c>
      <c r="G53" s="46">
        <v>57061</v>
      </c>
      <c r="H53" s="46">
        <v>57377</v>
      </c>
      <c r="I53" s="46">
        <v>57436</v>
      </c>
      <c r="J53" s="46">
        <v>57727</v>
      </c>
      <c r="K53" s="46">
        <v>57965</v>
      </c>
      <c r="L53" s="46">
        <v>58089</v>
      </c>
      <c r="M53" s="46">
        <v>58227</v>
      </c>
      <c r="N53" s="46">
        <v>58318</v>
      </c>
      <c r="O53" s="46">
        <v>58529</v>
      </c>
      <c r="P53" s="46">
        <v>58658</v>
      </c>
      <c r="Q53" s="45">
        <v>58911</v>
      </c>
      <c r="R53" s="59">
        <f t="shared" si="4"/>
        <v>57876</v>
      </c>
      <c r="S53" s="60">
        <f t="shared" si="3"/>
        <v>1017.8830603358906</v>
      </c>
    </row>
    <row r="54" spans="2:19" ht="15.75" thickBot="1" x14ac:dyDescent="0.3">
      <c r="B54" s="37" t="s">
        <v>235</v>
      </c>
      <c r="C54" s="36" t="s">
        <v>707</v>
      </c>
      <c r="D54" s="44" t="s">
        <v>53</v>
      </c>
      <c r="E54" s="45"/>
      <c r="F54" s="46">
        <v>144392</v>
      </c>
      <c r="G54" s="46">
        <v>145104</v>
      </c>
      <c r="H54" s="46">
        <v>145550</v>
      </c>
      <c r="I54" s="46">
        <v>145744</v>
      </c>
      <c r="J54" s="46">
        <v>145926</v>
      </c>
      <c r="K54" s="46">
        <v>146025</v>
      </c>
      <c r="L54" s="46">
        <v>146113</v>
      </c>
      <c r="M54" s="46">
        <v>146395</v>
      </c>
      <c r="N54" s="46">
        <v>146524</v>
      </c>
      <c r="O54" s="46">
        <v>146769</v>
      </c>
      <c r="P54" s="46">
        <v>147095</v>
      </c>
      <c r="Q54" s="45">
        <v>147019</v>
      </c>
      <c r="R54" s="59">
        <f t="shared" si="4"/>
        <v>146054.66666666666</v>
      </c>
      <c r="S54" s="60">
        <f t="shared" si="3"/>
        <v>1006.6025506431382</v>
      </c>
    </row>
    <row r="55" spans="2:19" ht="15.75" thickBot="1" x14ac:dyDescent="0.3">
      <c r="B55" s="37" t="s">
        <v>236</v>
      </c>
      <c r="C55" s="36" t="s">
        <v>708</v>
      </c>
      <c r="D55" s="44" t="s">
        <v>54</v>
      </c>
      <c r="E55" s="45"/>
      <c r="F55" s="46">
        <v>191654</v>
      </c>
      <c r="G55" s="46">
        <v>194166</v>
      </c>
      <c r="H55" s="46">
        <v>194207</v>
      </c>
      <c r="I55" s="46">
        <v>193987</v>
      </c>
      <c r="J55" s="46">
        <v>194566</v>
      </c>
      <c r="K55" s="46">
        <v>195453</v>
      </c>
      <c r="L55" s="46">
        <v>196679</v>
      </c>
      <c r="M55" s="46">
        <v>197729</v>
      </c>
      <c r="N55" s="46">
        <v>198713</v>
      </c>
      <c r="O55" s="46">
        <v>199793</v>
      </c>
      <c r="P55" s="46">
        <v>200413</v>
      </c>
      <c r="Q55" s="45">
        <v>200494</v>
      </c>
      <c r="R55" s="59">
        <f t="shared" si="4"/>
        <v>196487.83333333334</v>
      </c>
      <c r="S55" s="60">
        <f t="shared" si="3"/>
        <v>1020.3888790400084</v>
      </c>
    </row>
    <row r="56" spans="2:19" ht="15.75" thickBot="1" x14ac:dyDescent="0.3">
      <c r="B56" s="37" t="s">
        <v>244</v>
      </c>
      <c r="C56" s="36" t="s">
        <v>709</v>
      </c>
      <c r="D56" s="44" t="s">
        <v>62</v>
      </c>
      <c r="E56" s="45"/>
      <c r="F56" s="46">
        <v>23256</v>
      </c>
      <c r="G56" s="46">
        <v>23505</v>
      </c>
      <c r="H56" s="46">
        <v>23642</v>
      </c>
      <c r="I56" s="46">
        <v>23654</v>
      </c>
      <c r="J56" s="46">
        <v>23668</v>
      </c>
      <c r="K56" s="46">
        <v>23744</v>
      </c>
      <c r="L56" s="46">
        <v>23816</v>
      </c>
      <c r="M56" s="46">
        <v>23852</v>
      </c>
      <c r="N56" s="46">
        <v>23918</v>
      </c>
      <c r="O56" s="46">
        <v>23985</v>
      </c>
      <c r="P56" s="46">
        <v>24054</v>
      </c>
      <c r="Q56" s="45">
        <v>24095</v>
      </c>
      <c r="R56" s="59">
        <f t="shared" si="4"/>
        <v>23765.75</v>
      </c>
      <c r="S56" s="60">
        <f t="shared" si="3"/>
        <v>1013.8539705248099</v>
      </c>
    </row>
    <row r="57" spans="2:19" ht="15.75" thickBot="1" x14ac:dyDescent="0.3">
      <c r="B57" s="37" t="s">
        <v>243</v>
      </c>
      <c r="C57" s="36" t="s">
        <v>710</v>
      </c>
      <c r="D57" s="44" t="s">
        <v>61</v>
      </c>
      <c r="E57" s="45"/>
      <c r="F57" s="46">
        <v>177138</v>
      </c>
      <c r="G57" s="46">
        <v>180322</v>
      </c>
      <c r="H57" s="46">
        <v>180596</v>
      </c>
      <c r="I57" s="46">
        <v>180109</v>
      </c>
      <c r="J57" s="46">
        <v>180912</v>
      </c>
      <c r="K57" s="46">
        <v>182268</v>
      </c>
      <c r="L57" s="46">
        <v>183033</v>
      </c>
      <c r="M57" s="46">
        <v>184835</v>
      </c>
      <c r="N57" s="46">
        <v>185657</v>
      </c>
      <c r="O57" s="46">
        <v>186671</v>
      </c>
      <c r="P57" s="46">
        <v>186965</v>
      </c>
      <c r="Q57" s="45">
        <v>187329</v>
      </c>
      <c r="R57" s="59">
        <f t="shared" si="4"/>
        <v>182986.25</v>
      </c>
      <c r="S57" s="60">
        <f t="shared" si="3"/>
        <v>1023.7326575084194</v>
      </c>
    </row>
    <row r="58" spans="2:19" ht="30.75" thickBot="1" x14ac:dyDescent="0.3">
      <c r="B58" s="37" t="s">
        <v>240</v>
      </c>
      <c r="C58" s="36" t="s">
        <v>711</v>
      </c>
      <c r="D58" s="44" t="s">
        <v>58</v>
      </c>
      <c r="E58" s="45"/>
      <c r="F58" s="46">
        <v>504342</v>
      </c>
      <c r="G58" s="46">
        <v>507873</v>
      </c>
      <c r="H58" s="46">
        <v>507699</v>
      </c>
      <c r="I58" s="46">
        <v>508473</v>
      </c>
      <c r="J58" s="46">
        <v>510047</v>
      </c>
      <c r="K58" s="46">
        <v>512809</v>
      </c>
      <c r="L58" s="46">
        <v>514612</v>
      </c>
      <c r="M58" s="46">
        <v>517809</v>
      </c>
      <c r="N58" s="46">
        <v>519407</v>
      </c>
      <c r="O58" s="46">
        <v>521250</v>
      </c>
      <c r="P58" s="46">
        <v>521485</v>
      </c>
      <c r="Q58" s="45">
        <v>521685</v>
      </c>
      <c r="R58" s="59">
        <f t="shared" si="4"/>
        <v>513957.58333333331</v>
      </c>
      <c r="S58" s="60">
        <f t="shared" si="3"/>
        <v>1015.0351253046013</v>
      </c>
    </row>
    <row r="59" spans="2:19" ht="15.75" thickBot="1" x14ac:dyDescent="0.3">
      <c r="B59" s="37" t="s">
        <v>241</v>
      </c>
      <c r="C59" s="36" t="s">
        <v>712</v>
      </c>
      <c r="D59" s="44" t="s">
        <v>59</v>
      </c>
      <c r="E59" s="45"/>
      <c r="F59" s="46">
        <v>87272</v>
      </c>
      <c r="G59" s="46">
        <v>88559</v>
      </c>
      <c r="H59" s="46">
        <v>88858</v>
      </c>
      <c r="I59" s="46">
        <v>88835</v>
      </c>
      <c r="J59" s="46">
        <v>89091</v>
      </c>
      <c r="K59" s="46">
        <v>89161</v>
      </c>
      <c r="L59" s="46">
        <v>90062</v>
      </c>
      <c r="M59" s="46">
        <v>90600</v>
      </c>
      <c r="N59" s="46">
        <v>91129</v>
      </c>
      <c r="O59" s="46">
        <v>91737</v>
      </c>
      <c r="P59" s="46">
        <v>92288</v>
      </c>
      <c r="Q59" s="45">
        <v>92451</v>
      </c>
      <c r="R59" s="59">
        <f t="shared" si="4"/>
        <v>90003.583333333328</v>
      </c>
      <c r="S59" s="60">
        <f t="shared" si="3"/>
        <v>1027.1924358567205</v>
      </c>
    </row>
    <row r="60" spans="2:19" ht="15.75" thickBot="1" x14ac:dyDescent="0.3">
      <c r="B60" s="37" t="s">
        <v>242</v>
      </c>
      <c r="C60" s="36" t="s">
        <v>713</v>
      </c>
      <c r="D60" s="44" t="s">
        <v>60</v>
      </c>
      <c r="E60" s="45"/>
      <c r="F60" s="46">
        <v>340627</v>
      </c>
      <c r="G60" s="46">
        <v>342048</v>
      </c>
      <c r="H60" s="46">
        <v>341770</v>
      </c>
      <c r="I60" s="46">
        <v>342231</v>
      </c>
      <c r="J60" s="46">
        <v>343952</v>
      </c>
      <c r="K60" s="46">
        <v>343864</v>
      </c>
      <c r="L60" s="46">
        <v>344622</v>
      </c>
      <c r="M60" s="46">
        <v>345532</v>
      </c>
      <c r="N60" s="46">
        <v>346623</v>
      </c>
      <c r="O60" s="46">
        <v>347395</v>
      </c>
      <c r="P60" s="46">
        <v>348361</v>
      </c>
      <c r="Q60" s="45">
        <v>347679</v>
      </c>
      <c r="R60" s="59">
        <f t="shared" si="4"/>
        <v>344558.66666666669</v>
      </c>
      <c r="S60" s="60">
        <f t="shared" si="3"/>
        <v>1009.0560291619423</v>
      </c>
    </row>
    <row r="61" spans="2:19" ht="15.75" thickBot="1" x14ac:dyDescent="0.3">
      <c r="B61" s="37" t="s">
        <v>245</v>
      </c>
      <c r="C61" s="36" t="s">
        <v>714</v>
      </c>
      <c r="D61" s="44" t="s">
        <v>63</v>
      </c>
      <c r="E61" s="45"/>
      <c r="F61" s="46">
        <v>412402</v>
      </c>
      <c r="G61" s="46">
        <v>414723</v>
      </c>
      <c r="H61" s="46">
        <v>415483</v>
      </c>
      <c r="I61" s="46">
        <v>415530</v>
      </c>
      <c r="J61" s="46">
        <v>416542</v>
      </c>
      <c r="K61" s="46">
        <v>418091</v>
      </c>
      <c r="L61" s="46">
        <v>418745</v>
      </c>
      <c r="M61" s="46">
        <v>420232</v>
      </c>
      <c r="N61" s="46">
        <v>420910</v>
      </c>
      <c r="O61" s="46">
        <v>421468</v>
      </c>
      <c r="P61" s="46">
        <v>421528</v>
      </c>
      <c r="Q61" s="45">
        <v>421485</v>
      </c>
      <c r="R61" s="59">
        <f t="shared" si="4"/>
        <v>418094.91666666669</v>
      </c>
      <c r="S61" s="60">
        <f t="shared" si="3"/>
        <v>1008.1084060058929</v>
      </c>
    </row>
    <row r="62" spans="2:19" ht="15.75" thickBot="1" x14ac:dyDescent="0.3">
      <c r="B62" s="37" t="s">
        <v>248</v>
      </c>
      <c r="C62" s="36" t="s">
        <v>715</v>
      </c>
      <c r="D62" s="44" t="s">
        <v>66</v>
      </c>
      <c r="E62" s="45"/>
      <c r="F62" s="46">
        <v>806734</v>
      </c>
      <c r="G62" s="46">
        <v>813356</v>
      </c>
      <c r="H62" s="46">
        <v>815280</v>
      </c>
      <c r="I62" s="46">
        <v>817354</v>
      </c>
      <c r="J62" s="46">
        <v>822171</v>
      </c>
      <c r="K62" s="46">
        <v>826707</v>
      </c>
      <c r="L62" s="46">
        <v>829081</v>
      </c>
      <c r="M62" s="46">
        <v>832117</v>
      </c>
      <c r="N62" s="46">
        <v>835022</v>
      </c>
      <c r="O62" s="46">
        <v>840403</v>
      </c>
      <c r="P62" s="46">
        <v>842883</v>
      </c>
      <c r="Q62" s="45">
        <v>841808</v>
      </c>
      <c r="R62" s="59">
        <f t="shared" si="4"/>
        <v>826909.66666666663</v>
      </c>
      <c r="S62" s="60">
        <f t="shared" si="3"/>
        <v>1018.0168813280291</v>
      </c>
    </row>
    <row r="63" spans="2:19" ht="30.75" thickBot="1" x14ac:dyDescent="0.3">
      <c r="B63" s="37" t="s">
        <v>250</v>
      </c>
      <c r="C63" s="36" t="s">
        <v>716</v>
      </c>
      <c r="D63" s="44" t="s">
        <v>68</v>
      </c>
      <c r="E63" s="45"/>
      <c r="F63" s="46">
        <v>543582</v>
      </c>
      <c r="G63" s="46">
        <v>546599</v>
      </c>
      <c r="H63" s="46">
        <v>545901</v>
      </c>
      <c r="I63" s="46">
        <v>546608</v>
      </c>
      <c r="J63" s="46">
        <v>546923</v>
      </c>
      <c r="K63" s="46">
        <v>548100</v>
      </c>
      <c r="L63" s="46">
        <v>550311</v>
      </c>
      <c r="M63" s="46">
        <v>553643</v>
      </c>
      <c r="N63" s="46">
        <v>555028</v>
      </c>
      <c r="O63" s="46">
        <v>558494</v>
      </c>
      <c r="P63" s="46">
        <v>559751</v>
      </c>
      <c r="Q63" s="45">
        <v>559888</v>
      </c>
      <c r="R63" s="59">
        <f t="shared" si="4"/>
        <v>551235.66666666663</v>
      </c>
      <c r="S63" s="60">
        <f t="shared" si="3"/>
        <v>1015.6962509078089</v>
      </c>
    </row>
    <row r="64" spans="2:19" ht="15.75" thickBot="1" x14ac:dyDescent="0.3">
      <c r="B64" s="37" t="s">
        <v>247</v>
      </c>
      <c r="C64" s="36" t="s">
        <v>717</v>
      </c>
      <c r="D64" s="44" t="s">
        <v>65</v>
      </c>
      <c r="E64" s="45"/>
      <c r="F64" s="46">
        <v>51815</v>
      </c>
      <c r="G64" s="46">
        <v>52391</v>
      </c>
      <c r="H64" s="46">
        <v>52375</v>
      </c>
      <c r="I64" s="46">
        <v>52399</v>
      </c>
      <c r="J64" s="46">
        <v>52431</v>
      </c>
      <c r="K64" s="46">
        <v>52621</v>
      </c>
      <c r="L64" s="46">
        <v>52766</v>
      </c>
      <c r="M64" s="46">
        <v>53057</v>
      </c>
      <c r="N64" s="46">
        <v>53262</v>
      </c>
      <c r="O64" s="46">
        <v>53417</v>
      </c>
      <c r="P64" s="46">
        <v>53551</v>
      </c>
      <c r="Q64" s="45">
        <v>53675</v>
      </c>
      <c r="R64" s="59">
        <f t="shared" si="4"/>
        <v>52813.333333333336</v>
      </c>
      <c r="S64" s="60">
        <f t="shared" si="3"/>
        <v>1016.3153244130269</v>
      </c>
    </row>
    <row r="65" spans="2:19" ht="15.75" thickBot="1" x14ac:dyDescent="0.3">
      <c r="B65" s="37" t="s">
        <v>252</v>
      </c>
      <c r="C65" s="36" t="s">
        <v>718</v>
      </c>
      <c r="D65" s="44" t="s">
        <v>70</v>
      </c>
      <c r="E65" s="45"/>
      <c r="F65" s="46">
        <v>505311</v>
      </c>
      <c r="G65" s="46">
        <v>507617</v>
      </c>
      <c r="H65" s="46">
        <v>507077</v>
      </c>
      <c r="I65" s="46">
        <v>506890</v>
      </c>
      <c r="J65" s="46">
        <v>508423</v>
      </c>
      <c r="K65" s="46">
        <v>508765</v>
      </c>
      <c r="L65" s="46">
        <v>508758</v>
      </c>
      <c r="M65" s="46">
        <v>510254</v>
      </c>
      <c r="N65" s="46">
        <v>511147</v>
      </c>
      <c r="O65" s="46">
        <v>511546</v>
      </c>
      <c r="P65" s="46">
        <v>511652</v>
      </c>
      <c r="Q65" s="45">
        <v>511747</v>
      </c>
      <c r="R65" s="59">
        <f t="shared" si="4"/>
        <v>509098.91666666669</v>
      </c>
      <c r="S65" s="60">
        <f t="shared" si="3"/>
        <v>1005.20151044648</v>
      </c>
    </row>
    <row r="66" spans="2:19" ht="15.75" thickBot="1" x14ac:dyDescent="0.3">
      <c r="B66" s="37" t="s">
        <v>249</v>
      </c>
      <c r="C66" s="36" t="s">
        <v>719</v>
      </c>
      <c r="D66" s="44" t="s">
        <v>67</v>
      </c>
      <c r="E66" s="45"/>
      <c r="F66" s="46">
        <v>30696</v>
      </c>
      <c r="G66" s="46">
        <v>30943</v>
      </c>
      <c r="H66" s="46">
        <v>30577</v>
      </c>
      <c r="I66" s="46">
        <v>30594</v>
      </c>
      <c r="J66" s="46">
        <v>30677</v>
      </c>
      <c r="K66" s="46">
        <v>30692</v>
      </c>
      <c r="L66" s="46">
        <v>30737</v>
      </c>
      <c r="M66" s="46">
        <v>30795</v>
      </c>
      <c r="N66" s="46">
        <v>30807</v>
      </c>
      <c r="O66" s="46">
        <v>31147</v>
      </c>
      <c r="P66" s="46">
        <v>31279</v>
      </c>
      <c r="Q66" s="45">
        <v>31359</v>
      </c>
      <c r="R66" s="59">
        <f t="shared" si="4"/>
        <v>30858.583333333332</v>
      </c>
      <c r="S66" s="60">
        <f t="shared" si="3"/>
        <v>1016.2164497722137</v>
      </c>
    </row>
    <row r="67" spans="2:19" ht="45.75" thickBot="1" x14ac:dyDescent="0.3">
      <c r="B67" s="37" t="s">
        <v>253</v>
      </c>
      <c r="C67" s="36" t="s">
        <v>720</v>
      </c>
      <c r="D67" s="44" t="s">
        <v>71</v>
      </c>
      <c r="E67" s="45"/>
      <c r="F67" s="46">
        <v>1131059</v>
      </c>
      <c r="G67" s="46">
        <v>1135013</v>
      </c>
      <c r="H67" s="46">
        <v>1134196</v>
      </c>
      <c r="I67" s="46">
        <v>1135226</v>
      </c>
      <c r="J67" s="46">
        <v>1137067</v>
      </c>
      <c r="K67" s="46">
        <v>1140061</v>
      </c>
      <c r="L67" s="46">
        <v>1145150</v>
      </c>
      <c r="M67" s="46">
        <v>1150537</v>
      </c>
      <c r="N67" s="46">
        <v>1153027</v>
      </c>
      <c r="O67" s="46">
        <v>1156221</v>
      </c>
      <c r="P67" s="46">
        <v>1155648</v>
      </c>
      <c r="Q67" s="45">
        <v>1155871</v>
      </c>
      <c r="R67" s="59">
        <f t="shared" si="4"/>
        <v>1144089.6666666667</v>
      </c>
      <c r="S67" s="60">
        <f t="shared" si="3"/>
        <v>1010.2975611760032</v>
      </c>
    </row>
    <row r="68" spans="2:19" ht="15.75" thickBot="1" x14ac:dyDescent="0.3">
      <c r="B68" s="37" t="s">
        <v>251</v>
      </c>
      <c r="C68" s="36" t="s">
        <v>721</v>
      </c>
      <c r="D68" s="44" t="s">
        <v>69</v>
      </c>
      <c r="E68" s="45"/>
      <c r="F68" s="46">
        <v>172117</v>
      </c>
      <c r="G68" s="46">
        <v>173673</v>
      </c>
      <c r="H68" s="46">
        <v>174544</v>
      </c>
      <c r="I68" s="46">
        <v>175105</v>
      </c>
      <c r="J68" s="46">
        <v>175488</v>
      </c>
      <c r="K68" s="46">
        <v>176162</v>
      </c>
      <c r="L68" s="46">
        <v>176332</v>
      </c>
      <c r="M68" s="46">
        <v>176615</v>
      </c>
      <c r="N68" s="46">
        <v>177640</v>
      </c>
      <c r="O68" s="46">
        <v>177685</v>
      </c>
      <c r="P68" s="46">
        <v>177760</v>
      </c>
      <c r="Q68" s="45">
        <v>177461</v>
      </c>
      <c r="R68" s="59">
        <f t="shared" si="4"/>
        <v>175881.83333333334</v>
      </c>
      <c r="S68" s="60">
        <f t="shared" si="3"/>
        <v>1008.9785661016724</v>
      </c>
    </row>
    <row r="69" spans="2:19" ht="15.75" thickBot="1" x14ac:dyDescent="0.3">
      <c r="B69" s="37" t="s">
        <v>254</v>
      </c>
      <c r="C69" s="36" t="s">
        <v>722</v>
      </c>
      <c r="D69" s="44" t="s">
        <v>72</v>
      </c>
      <c r="E69" s="45"/>
      <c r="F69" s="46">
        <v>54230</v>
      </c>
      <c r="G69" s="46">
        <v>54840</v>
      </c>
      <c r="H69" s="46">
        <v>54943</v>
      </c>
      <c r="I69" s="46">
        <v>54979</v>
      </c>
      <c r="J69" s="46">
        <v>55145</v>
      </c>
      <c r="K69" s="46">
        <v>55302</v>
      </c>
      <c r="L69" s="46">
        <v>55412</v>
      </c>
      <c r="M69" s="46">
        <v>55436</v>
      </c>
      <c r="N69" s="46">
        <v>55364</v>
      </c>
      <c r="O69" s="46">
        <v>55423</v>
      </c>
      <c r="P69" s="46">
        <v>55559</v>
      </c>
      <c r="Q69" s="45">
        <v>55589</v>
      </c>
      <c r="R69" s="59">
        <f t="shared" si="4"/>
        <v>55185.166666666664</v>
      </c>
      <c r="S69" s="60">
        <f t="shared" si="3"/>
        <v>1007.3177876905328</v>
      </c>
    </row>
    <row r="70" spans="2:19" ht="15.75" thickBot="1" x14ac:dyDescent="0.3">
      <c r="B70" s="37" t="s">
        <v>255</v>
      </c>
      <c r="C70" s="36" t="s">
        <v>723</v>
      </c>
      <c r="D70" s="44" t="s">
        <v>73</v>
      </c>
      <c r="E70" s="45"/>
      <c r="F70" s="46">
        <v>256080</v>
      </c>
      <c r="G70" s="46">
        <v>256687</v>
      </c>
      <c r="H70" s="46">
        <v>258364</v>
      </c>
      <c r="I70" s="46">
        <v>259004</v>
      </c>
      <c r="J70" s="46">
        <v>259854</v>
      </c>
      <c r="K70" s="46">
        <v>260908</v>
      </c>
      <c r="L70" s="46">
        <v>262012</v>
      </c>
      <c r="M70" s="46">
        <v>263466</v>
      </c>
      <c r="N70" s="46">
        <v>262632</v>
      </c>
      <c r="O70" s="46">
        <v>263687</v>
      </c>
      <c r="P70" s="46">
        <v>264593</v>
      </c>
      <c r="Q70" s="45">
        <v>264941</v>
      </c>
      <c r="R70" s="59">
        <f t="shared" si="4"/>
        <v>261019</v>
      </c>
      <c r="S70" s="60">
        <f t="shared" si="3"/>
        <v>1015.0257260965676</v>
      </c>
    </row>
    <row r="71" spans="2:19" ht="30.75" thickBot="1" x14ac:dyDescent="0.3">
      <c r="B71" s="1"/>
      <c r="C71" s="34"/>
      <c r="D71" s="47" t="s">
        <v>15</v>
      </c>
      <c r="E71" s="50">
        <f t="shared" ref="E71" si="5">SUM(E39:E70)</f>
        <v>0</v>
      </c>
      <c r="F71" s="50">
        <f t="shared" ref="F71:Q71" si="6">SUM(F39:F70)</f>
        <v>23455628</v>
      </c>
      <c r="G71" s="50">
        <f t="shared" si="6"/>
        <v>23649674</v>
      </c>
      <c r="H71" s="50">
        <f t="shared" si="6"/>
        <v>23599763</v>
      </c>
      <c r="I71" s="50">
        <f t="shared" si="6"/>
        <v>23593555</v>
      </c>
      <c r="J71" s="50">
        <f t="shared" si="6"/>
        <v>23679715</v>
      </c>
      <c r="K71" s="50">
        <f t="shared" si="6"/>
        <v>23830493</v>
      </c>
      <c r="L71" s="50">
        <f t="shared" si="6"/>
        <v>23967357</v>
      </c>
      <c r="M71" s="50">
        <f t="shared" si="6"/>
        <v>24125089</v>
      </c>
      <c r="N71" s="50">
        <f t="shared" si="6"/>
        <v>24196472</v>
      </c>
      <c r="O71" s="50">
        <f t="shared" si="6"/>
        <v>24268958</v>
      </c>
      <c r="P71" s="50">
        <f t="shared" si="6"/>
        <v>24291638</v>
      </c>
      <c r="Q71" s="50">
        <f t="shared" si="6"/>
        <v>24273132</v>
      </c>
      <c r="R71" s="61">
        <f>+AVERAGE(R39:R70)</f>
        <v>747217.38020833337</v>
      </c>
      <c r="S71" s="55" t="s">
        <v>676</v>
      </c>
    </row>
  </sheetData>
  <sortState xmlns:xlrd2="http://schemas.microsoft.com/office/spreadsheetml/2017/richdata2" ref="B2:S33">
    <sortCondition descending="1" ref="S2:S33"/>
  </sortState>
  <mergeCells count="1">
    <mergeCell ref="E37:P3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p:Policy xmlns:p="office.server.policy" id="" local="true">
  <p:Name>Esquema de Publicación</p:Name>
  <p:Description/>
  <p:Statement/>
  <p:PolicyItems>
    <p:PolicyItem featureId="Microsoft.Office.RecordsManagement.PolicyFeatures.PolicyAudit" staticId="0x0101006C70C9CFFF10F647A97BB5C9232AAEE5009FBA39D6F0EFBE46B7DDDC2432460757|-1152541523" UniqueId="d4ea8587-a278-44ed-a4c0-d4c7c9753af1">
      <p:Name>Auditoría</p:Name>
      <p:Description>Audita las acciones de usuario en documentos y enumera elementos en el registro de auditoría.</p:Description>
      <p:CustomData>
        <Audit>
          <Update/>
          <CheckInOut/>
          <DeleteRestore/>
        </Audit>
      </p:CustomData>
    </p:PolicyItem>
    <p:PolicyItem featureId="Microsoft.Office.RecordsManagement.PolicyFeatures.PolicyLabel" staticId="0x0101006C70C9CFFF10F647A97BB5C9232AAEE5009FBA39D6F0EFBE46B7DDDC2432460757|-1050165513" UniqueId="9516b2fc-f6d3-42e3-ad28-7dd574b1dd21">
      <p:Name>Etiquetas</p:Name>
      <p:Description>Genera etiquetas que se pueden insertar en documentos de Microsoft Office para asegurarse de que las propiedades del documento u otra información importante se incluya cuando se impriman los documentos. También se pueden utilizar etiquetas para buscar documentos.</p:Description>
      <p:CustomData>
        <label>
          <properties>
            <width>1.5748031496063</width>
            <height>1.5748031496063</height>
            <justification>Left</justification>
            <lock>True</lock>
          </properties>
          <segment type="literal">Copia Controlada</segment>
        </label>
      </p:CustomData>
    </p:PolicyItem>
  </p:PolicyItems>
</p:Policy>
</file>

<file path=customXml/item3.xml><?xml version="1.0" encoding="utf-8"?>
<p:properties xmlns:p="http://schemas.microsoft.com/office/2006/metadata/properties" xmlns:xsi="http://www.w3.org/2001/XMLSchema-instance" xmlns:pc="http://schemas.microsoft.com/office/infopath/2007/PartnerControls">
  <documentManagement>
    <_dlc_DocId xmlns="b6565643-c00f-44ce-b5d1-532a85e4382c">XQAF2AT3N76N-126-174</_dlc_DocId>
    <_dlc_DocIdUrl xmlns="b6565643-c00f-44ce-b5d1-532a85e4382c">
      <Url>https://docs.supersalud.gov.co/PortalWeb/ProteccionUsuario/_layouts/15/DocIdRedir.aspx?ID=XQAF2AT3N76N-126-174</Url>
      <Description>XQAF2AT3N76N-126-174</Description>
    </_dlc_DocIdUrl>
    <Numero xmlns="b6565643-c00f-44ce-b5d1-532a85e4382c">EPQRD</Numero>
    <Language xmlns="http://schemas.microsoft.com/sharepoint/v3">Español (España)</Language>
    <Frecuencia_de_actualizacion xmlns="b6565643-c00f-44ce-b5d1-532a85e4382c">Semanal</Frecuencia_de_actualizacion>
    <_Format xmlns="http://schemas.microsoft.com/sharepoint/v3/fields">Hoja de calculo</_Format>
    <Descripcion xmlns="b6565643-c00f-44ce-b5d1-532a85e4382c">Comportamiento de las peticiones, quejas, reclamos o denuncias y solicitudes de información formuladas por los usuarios del Sistema Nacional de Salud ante la Supersalud en el periodo comprendido entre enero y diciembre de 2021.</Descripcion>
    <Informacion_publicada_o_disponible xmlns="b6565643-c00f-44ce-b5d1-532a85e4382c">https://www.supersalud.gov.co/es-co/superintendencia/sistema-integrado-de-gestion/subsistema-gestion-de-la-calidad</Informacion_publicada_o_disponible>
    <Estado_Plantilla xmlns="b6565643-c00f-44ce-b5d1-532a85e4382c">En ejecución</Estado_Plantilla>
    <Medio_de_conservacion_y_x002f_o_soporte xmlns="b6565643-c00f-44ce-b5d1-532a85e4382c">Documento electrónico</Medio_de_conservacion_y_x002f_o_soporte>
    <Fecha_x0020_de_x0020_Publicacion xmlns="b6565643-c00f-44ce-b5d1-532a85e4382c">2021-12-31T05:00:00+00:00</Fecha_x0020_de_x0020_Publicacion>
    <Nombre_del_archivo_con_extension xmlns="b6565643-c00f-44ce-b5d1-532a85e4382c" xsi:nil="true"/>
    <e9b4dd5958b242f1b9a6ead3e1222f02 xmlns="b6565643-c00f-44ce-b5d1-532a85e4382c">
      <Terms xmlns="http://schemas.microsoft.com/office/infopath/2007/PartnerControls"/>
    </e9b4dd5958b242f1b9a6ead3e1222f02>
    <Nombre_del_responsable_Produccion xmlns="b6565643-c00f-44ce-b5d1-532a85e4382c" xsi:nil="true"/>
    <Fecha_de_Caducidad xmlns="b6565643-c00f-44ce-b5d1-532a85e4382c" xsi:nil="true"/>
    <Fecha_de_Generacion_Informacion xmlns="b6565643-c00f-44ce-b5d1-532a85e4382c">2021-12-31T05:00:00+00:00</Fecha_de_Generacion_Informacion>
    <FechaCaducidad xmlns="b6565643-c00f-44ce-b5d1-532a85e4382c" xsi:nil="true"/>
    <k6e49ac2d53b4321b6bf2a64ac630f1e xmlns="b6565643-c00f-44ce-b5d1-532a85e4382c">
      <Terms xmlns="http://schemas.microsoft.com/office/infopath/2007/PartnerControls"/>
    </k6e49ac2d53b4321b6bf2a64ac630f1e>
    <FechaPublicacion xmlns="b6565643-c00f-44ce-b5d1-532a85e4382c">2021-12-31T05:00:00+00:00</FechaPublicacion>
    <Subserie xmlns="b6565643-c00f-44ce-b5d1-532a85e4382c" xsi:nil="true"/>
    <Código_x0020_del_x0020_reponsable_x0020_Producción xmlns="b6565643-c00f-44ce-b5d1-532a85e4382c">640</Código_x0020_del_x0020_reponsable_x0020_Producción>
    <hc05d8cf50584709bf9d898f7cd63ea9 xmlns="b6565643-c00f-44ce-b5d1-532a85e4382c">
      <Terms xmlns="http://schemas.microsoft.com/office/infopath/2007/PartnerControls">
        <TermInfo xmlns="http://schemas.microsoft.com/office/infopath/2007/PartnerControls">
          <TermName xmlns="http://schemas.microsoft.com/office/infopath/2007/PartnerControls">2021</TermName>
          <TermId xmlns="http://schemas.microsoft.com/office/infopath/2007/PartnerControls">45aedafc-f9ba-48a1-b269-ca7e51ab1de7</TermId>
        </TermInfo>
      </Terms>
    </hc05d8cf50584709bf9d898f7cd63ea9>
    <Codigo_serie xmlns="b6565643-c00f-44ce-b5d1-532a85e4382c" xsi:nil="true"/>
    <n7ea3bf5d968464a99702783eb8721dd xmlns="b6565643-c00f-44ce-b5d1-532a85e4382c">
      <Terms xmlns="http://schemas.microsoft.com/office/infopath/2007/PartnerControls">
        <TermInfo xmlns="http://schemas.microsoft.com/office/infopath/2007/PartnerControls">
          <TermName xmlns="http://schemas.microsoft.com/office/infopath/2007/PartnerControls">Diciembre</TermName>
          <TermId xmlns="http://schemas.microsoft.com/office/infopath/2007/PartnerControls">53229e0b-375c-4df7-987f-87b73da23f97</TermId>
        </TermInfo>
      </Terms>
    </n7ea3bf5d968464a99702783eb8721dd>
    <TaxCatchAll xmlns="fc59cac2-4a0b-49e5-b878-56577be82993">
      <Value>71</Value>
      <Value>155</Value>
    </TaxCatchAll>
    <Palabras_Claves xmlns="b6565643-c00f-44ce-b5d1-532a85e4382c" xsi:nil="true"/>
    <ma69eb2887be407a9d5f3fa084f68ae7 xmlns="b6565643-c00f-44ce-b5d1-532a85e4382c">
      <Terms xmlns="http://schemas.microsoft.com/office/infopath/2007/PartnerControls"/>
    </ma69eb2887be407a9d5f3fa084f68ae7>
    <f2931104761c43619c32589b14283c3d xmlns="b6565643-c00f-44ce-b5d1-532a85e4382c">
      <Terms xmlns="http://schemas.microsoft.com/office/infopath/2007/PartnerControls"/>
    </f2931104761c43619c32589b14283c3d>
    <Codigo_Subserie xmlns="b6565643-c00f-44ce-b5d1-532a85e4382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Estandar SUPERSALUD" ma:contentTypeID="0x010100013831AC148D7240B2B0A92D12A981FC00653506D51B1C3B48885C915F6085D23D" ma:contentTypeVersion="33" ma:contentTypeDescription="Crear nuevo documento." ma:contentTypeScope="" ma:versionID="2c3308cf7bb6adbf9cb1bf50cfc4a7b0">
  <xsd:schema xmlns:xsd="http://www.w3.org/2001/XMLSchema" xmlns:xs="http://www.w3.org/2001/XMLSchema" xmlns:p="http://schemas.microsoft.com/office/2006/metadata/properties" xmlns:ns1="http://schemas.microsoft.com/sharepoint/v3" xmlns:ns2="b6565643-c00f-44ce-b5d1-532a85e4382c" xmlns:ns3="http://schemas.microsoft.com/sharepoint/v3/fields" xmlns:ns4="fc59cac2-4a0b-49e5-b878-56577be82993" targetNamespace="http://schemas.microsoft.com/office/2006/metadata/properties" ma:root="true" ma:fieldsID="5e0de758c87cb0a861c546031228f093" ns1:_="" ns2:_="" ns3:_="" ns4:_="">
    <xsd:import namespace="http://schemas.microsoft.com/sharepoint/v3"/>
    <xsd:import namespace="b6565643-c00f-44ce-b5d1-532a85e4382c"/>
    <xsd:import namespace="http://schemas.microsoft.com/sharepoint/v3/fields"/>
    <xsd:import namespace="fc59cac2-4a0b-49e5-b878-56577be82993"/>
    <xsd:element name="properties">
      <xsd:complexType>
        <xsd:sequence>
          <xsd:element name="documentManagement">
            <xsd:complexType>
              <xsd:all>
                <xsd:element ref="ns2:Numero"/>
                <xsd:element ref="ns1:Language" minOccurs="0"/>
                <xsd:element ref="ns2:Descripcion"/>
                <xsd:element ref="ns2:Fecha_x0020_de_x0020_Publicacion" minOccurs="0"/>
                <xsd:element ref="ns2:FechaPublicacion" minOccurs="0"/>
                <xsd:element ref="ns2:FechaCaducidad" minOccurs="0"/>
                <xsd:element ref="ns2:Nombre_del_responsable_Produccion" minOccurs="0"/>
                <xsd:element ref="ns2:Codigo_serie" minOccurs="0"/>
                <xsd:element ref="ns2:Codigo_Subserie" minOccurs="0"/>
                <xsd:element ref="ns2:Palabras_Claves" minOccurs="0"/>
                <xsd:element ref="ns2:Fecha_de_Caducidad" minOccurs="0"/>
                <xsd:element ref="ns2:Nombre_del_archivo_con_extension" minOccurs="0"/>
                <xsd:element ref="ns2:Subserie" minOccurs="0"/>
                <xsd:element ref="ns2:Fecha_de_Generacion_Informacion" minOccurs="0"/>
                <xsd:element ref="ns2:Medio_de_conservacion_y_x002f_o_soporte" minOccurs="0"/>
                <xsd:element ref="ns3:_Format" minOccurs="0"/>
                <xsd:element ref="ns2:Informacion_publicada_o_disponible" minOccurs="0"/>
                <xsd:element ref="ns2:Frecuencia_de_actualizacion" minOccurs="0"/>
                <xsd:element ref="ns2:Estado_Plantilla" minOccurs="0"/>
                <xsd:element ref="ns2:Código_x0020_del_x0020_reponsable_x0020_Producción" minOccurs="0"/>
                <xsd:element ref="ns4:TaxCatchAllLabel" minOccurs="0"/>
                <xsd:element ref="ns2:f2931104761c43619c32589b14283c3d" minOccurs="0"/>
                <xsd:element ref="ns2:n7ea3bf5d968464a99702783eb8721dd" minOccurs="0"/>
                <xsd:element ref="ns2:k6e49ac2d53b4321b6bf2a64ac630f1e" minOccurs="0"/>
                <xsd:element ref="ns2:e9b4dd5958b242f1b9a6ead3e1222f02" minOccurs="0"/>
                <xsd:element ref="ns2:_dlc_DocId" minOccurs="0"/>
                <xsd:element ref="ns2:ma69eb2887be407a9d5f3fa084f68ae7" minOccurs="0"/>
                <xsd:element ref="ns2:_dlc_DocIdUrl" minOccurs="0"/>
                <xsd:element ref="ns2:_dlc_DocIdPersistId" minOccurs="0"/>
                <xsd:element ref="ns2:hc05d8cf50584709bf9d898f7cd63ea9"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5" nillable="true" ma:displayName="Idioma" ma:description="Establece el Idioma, lengua o dialecto en que se encuentra la información." ma:format="Dropdown" ma:internalName="Language">
      <xsd:simpleType>
        <xsd:restriction base="dms:Choice">
          <xsd:enumeration value="Árabe (Arabia Saudí)"/>
          <xsd:enumeration value="Búlgaro (Bulgaria)"/>
          <xsd:enumeration value="Chino (Hong Kong, RAE)"/>
          <xsd:enumeration value="Chino (República Popular China)"/>
          <xsd:enumeration value="Chino (Taiwán)"/>
          <xsd:enumeration value="Croata (Croacia)"/>
          <xsd:enumeration value="Checo (República Checa)"/>
          <xsd:enumeration value="Danés (Dinamarca)"/>
          <xsd:enumeration value="Neerlandés (Países Bajos)"/>
          <xsd:enumeration value="Inglés"/>
          <xsd:enumeration value="Estonio (Estonia)"/>
          <xsd:enumeration value="Finés (Finlandia)"/>
          <xsd:enumeration value="Francés (Francia)"/>
          <xsd:enumeration value="Alemán (Alemania)"/>
          <xsd:enumeration value="Griego (Grecia)"/>
          <xsd:enumeration value="Hebreo (Israel)"/>
          <xsd:enumeration value="Hindi (India)"/>
          <xsd:enumeration value="Húngaro (Hungría)"/>
          <xsd:enumeration value="Indonesio (Indonesia)"/>
          <xsd:enumeration value="Italiano (Italia)"/>
          <xsd:enumeration value="Japonés (Japón)"/>
          <xsd:enumeration value="Coreano (Corea)"/>
          <xsd:enumeration value="Letón (Letonia)"/>
          <xsd:enumeration value="Lituano (Lituania)"/>
          <xsd:enumeration value="Malayo (Malasia)"/>
          <xsd:enumeration value="Noruego (Bokmal) (Noruega)"/>
          <xsd:enumeration value="Polaco (Polonia)"/>
          <xsd:enumeration value="Portugués (Brasil)"/>
          <xsd:enumeration value="Portugués (Portugal)"/>
          <xsd:enumeration value="Rumano (Rumania)"/>
          <xsd:enumeration value="Ruso (Rusia)"/>
          <xsd:enumeration value="Serbio (latino) (Serbia)"/>
          <xsd:enumeration value="Eslovaco (Eslovaquia)"/>
          <xsd:enumeration value="Esloveno (Eslovenia)"/>
          <xsd:enumeration value="Español (España)"/>
          <xsd:enumeration value="Sueco (Suecia)"/>
          <xsd:enumeration value="Tailandés (Tailandia)"/>
          <xsd:enumeration value="Turco (Turquía)"/>
          <xsd:enumeration value="Ucraniano (Ucrania)"/>
          <xsd:enumeration value="Urdu (República Islámica de Pakistán)"/>
          <xsd:enumeration value="Vietnamita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b6565643-c00f-44ce-b5d1-532a85e4382c" elementFormDefault="qualified">
    <xsd:import namespace="http://schemas.microsoft.com/office/2006/documentManagement/types"/>
    <xsd:import namespace="http://schemas.microsoft.com/office/infopath/2007/PartnerControls"/>
    <xsd:element name="Numero" ma:index="2" ma:displayName="Número" ma:description="Consecutivo o identificador único de documento que la dependencia crea al momento de publicar la información." ma:internalName="Numero" ma:readOnly="false">
      <xsd:simpleType>
        <xsd:restriction base="dms:Text">
          <xsd:maxLength value="255"/>
        </xsd:restriction>
      </xsd:simpleType>
    </xsd:element>
    <xsd:element name="Descripcion" ma:index="7" ma:displayName="Descripción" ma:description="Defina brevemente de qué se trata la información. máximo 200 caracteres." ma:internalName="Descripcion" ma:readOnly="false">
      <xsd:simpleType>
        <xsd:restriction base="dms:Note">
          <xsd:maxLength value="255"/>
        </xsd:restriction>
      </xsd:simpleType>
    </xsd:element>
    <xsd:element name="Fecha_x0020_de_x0020_Publicacion" ma:index="8" nillable="true" ma:displayName="Fecha de Publicación" ma:description="Corresponde a la fecha que se publica el documento dentro de portal web." ma:format="DateOnly" ma:internalName="Fecha_x0020_de_x0020_Publicacion">
      <xsd:simpleType>
        <xsd:restriction base="dms:DateTime"/>
      </xsd:simpleType>
    </xsd:element>
    <xsd:element name="FechaPublicacion" ma:index="11" nillable="true" ma:displayName="Fecha creación documento" ma:description="Fecha publicación del documento." ma:format="DateOnly" ma:internalName="FechaPublicacion">
      <xsd:simpleType>
        <xsd:restriction base="dms:DateTime"/>
      </xsd:simpleType>
    </xsd:element>
    <xsd:element name="FechaCaducidad" ma:index="12" nillable="true" ma:displayName="Fecha fin de publicación" ma:description="Fecha en la que el documento deja de estar vigente." ma:format="DateOnly" ma:internalName="FechaCaducidad">
      <xsd:simpleType>
        <xsd:restriction base="dms:DateTime"/>
      </xsd:simpleType>
    </xsd:element>
    <xsd:element name="Nombre_del_responsable_Produccion" ma:index="13" nillable="true" ma:displayName="Nombre del responsable de producción." ma:description="Corresponde al nombre de la dependencia encargada de la Producción de la información para efectos de permitir su correcta elaboración." ma:internalName="Nombre_del_responsable_Produccion">
      <xsd:simpleType>
        <xsd:restriction base="dms:Text">
          <xsd:maxLength value="250"/>
        </xsd:restriction>
      </xsd:simpleType>
    </xsd:element>
    <xsd:element name="Codigo_serie" ma:index="14" nillable="true" ma:displayName="Código de Serie" ma:internalName="Codigo_serie">
      <xsd:simpleType>
        <xsd:restriction base="dms:Text">
          <xsd:maxLength value="250"/>
        </xsd:restriction>
      </xsd:simpleType>
    </xsd:element>
    <xsd:element name="Codigo_Subserie" ma:index="15" nillable="true" ma:displayName="Código de Subserie." ma:internalName="Codigo_Subserie">
      <xsd:simpleType>
        <xsd:restriction base="dms:Text">
          <xsd:maxLength value="250"/>
        </xsd:restriction>
      </xsd:simpleType>
    </xsd:element>
    <xsd:element name="Palabras_Claves" ma:index="16" nillable="true" ma:displayName="Temática - Palabras clave" ma:internalName="Palabras_Claves">
      <xsd:simpleType>
        <xsd:restriction base="dms:Text">
          <xsd:maxLength value="250"/>
        </xsd:restriction>
      </xsd:simpleType>
    </xsd:element>
    <xsd:element name="Fecha_de_Caducidad" ma:index="17" nillable="true" ma:displayName="Fecha de Caducidad" ma:format="DateOnly" ma:internalName="Fecha_de_Caducidad">
      <xsd:simpleType>
        <xsd:restriction base="dms:DateTime"/>
      </xsd:simpleType>
    </xsd:element>
    <xsd:element name="Nombre_del_archivo_con_extension" ma:index="19" nillable="true" ma:displayName="Nombre del archivo con extensión" ma:internalName="Nombre_del_archivo_con_extension">
      <xsd:simpleType>
        <xsd:restriction base="dms:Text">
          <xsd:maxLength value="250"/>
        </xsd:restriction>
      </xsd:simpleType>
    </xsd:element>
    <xsd:element name="Subserie" ma:index="20" nillable="true" ma:displayName="SubSerie." ma:description="Este dato corresponde a la clasificación documental de cada documento." ma:internalName="Subserie">
      <xsd:simpleType>
        <xsd:restriction base="dms:Text">
          <xsd:maxLength value="250"/>
        </xsd:restriction>
      </xsd:simpleType>
    </xsd:element>
    <xsd:element name="Fecha_de_Generacion_Informacion" ma:index="21" nillable="true" ma:displayName="Fecha de generación información" ma:description="Identifique la fecha cuando se creó la información. Esta fecha no puede ser igual a la fecha de publicación." ma:format="DateOnly" ma:internalName="Fecha_de_Generacion_Informacion">
      <xsd:simpleType>
        <xsd:restriction base="dms:DateTime"/>
      </xsd:simpleType>
    </xsd:element>
    <xsd:element name="Medio_de_conservacion_y_x002f_o_soporte" ma:index="22" nillable="true" ma:displayName="Medio de conservación y/o soporte" ma:description="Defina si el documento es: &#10;o Documento físico, documentos se encuentra impreso.                &#10;o Documento electrónico, documento que se encuentra creado y publicado en formato PDF con OCR.&#10;o Documento digital, documento escaneado del documento físico, sin OCR.&#10;" ma:format="Dropdown" ma:internalName="Medio_de_conservacion_y_x002F_o_soporte">
      <xsd:simpleType>
        <xsd:restriction base="dms:Choice">
          <xsd:enumeration value="Documento físico"/>
          <xsd:enumeration value="Documento electrónico"/>
          <xsd:enumeration value="Documento Digital"/>
        </xsd:restriction>
      </xsd:simpleType>
    </xsd:element>
    <xsd:element name="Informacion_publicada_o_disponible" ma:index="24" nillable="true" ma:displayName="Información publicada y/o disponible" ma:description="Indica el lugar donde se encuentra publicado o puede ser consultado el documento. Digite el URL o la sección donde publicará el documento Ej. Superintendencia/políticas, Planes y Programas/plan anual de gestión." ma:internalName="Informacion_publicada_o_disponible">
      <xsd:simpleType>
        <xsd:restriction base="dms:Text">
          <xsd:maxLength value="250"/>
        </xsd:restriction>
      </xsd:simpleType>
    </xsd:element>
    <xsd:element name="Frecuencia_de_actualizacion" ma:index="25" nillable="true" ma:displayName="Frecuencia de actualización" ma:description="Identifica la periodicidad o el segmento de tiempo con la que actualiza la información, de acuerdo a su naturaleza y a la normativa aplicable." ma:format="Dropdown" ma:internalName="Frecuencia_de_actualizacion">
      <xsd:simpleType>
        <xsd:restriction base="dms:Choice">
          <xsd:enumeration value="Cada minuto"/>
          <xsd:enumeration value="Cada hora"/>
          <xsd:enumeration value="Medio Día"/>
          <xsd:enumeration value="Diaria"/>
          <xsd:enumeration value="Semanal"/>
          <xsd:enumeration value="Mensual"/>
          <xsd:enumeration value="Bimestral"/>
          <xsd:enumeration value="Trimestral"/>
          <xsd:enumeration value="Cuatrimestral"/>
          <xsd:enumeration value="Semestral"/>
          <xsd:enumeration value="Anual"/>
          <xsd:enumeration value="Histórica"/>
          <xsd:enumeration value="Por demanda"/>
        </xsd:restriction>
      </xsd:simpleType>
    </xsd:element>
    <xsd:element name="Estado_Plantilla" ma:index="26" nillable="true" ma:displayName="Estado" ma:description="Corresponde a los planes y programas que se encuentra en vigencia (Si no aplica, seleccione la palabra no aplica dentro de la lista)." ma:format="Dropdown" ma:internalName="Estado_Plantilla" ma:readOnly="false">
      <xsd:simpleType>
        <xsd:restriction base="dms:Choice">
          <xsd:enumeration value="En ejecución"/>
          <xsd:enumeration value="En estudio"/>
          <xsd:enumeration value="Obsolesencia"/>
          <xsd:enumeration value="No Aplica"/>
        </xsd:restriction>
      </xsd:simpleType>
    </xsd:element>
    <xsd:element name="Código_x0020_del_x0020_reponsable_x0020_Producción" ma:index="27" nillable="true" ma:displayName="Código del reponsable Producción" ma:description="código de dependencia acorde a las TRD" ma:internalName="C_x00f3_digo_x0020_del_x0020_reponsable_x0020_Producci_x00f3_n" ma:readOnly="false">
      <xsd:simpleType>
        <xsd:restriction base="dms:Text">
          <xsd:maxLength value="255"/>
        </xsd:restriction>
      </xsd:simpleType>
    </xsd:element>
    <xsd:element name="f2931104761c43619c32589b14283c3d" ma:index="30" nillable="true" ma:taxonomy="true" ma:internalName="f2931104761c43619c32589b14283c3d" ma:taxonomyFieldName="Area" ma:displayName="Area_" ma:default="" ma:fieldId="{f2931104-761c-4361-9c32-589b14283c3d}" ma:sspId="3ac77b2c-d325-4e94-982b-ed583e66bd71" ma:termSetId="975aef82-27af-4c68-8901-f8a422c3640d" ma:anchorId="00000000-0000-0000-0000-000000000000" ma:open="false" ma:isKeyword="false">
      <xsd:complexType>
        <xsd:sequence>
          <xsd:element ref="pc:Terms" minOccurs="0" maxOccurs="1"/>
        </xsd:sequence>
      </xsd:complexType>
    </xsd:element>
    <xsd:element name="n7ea3bf5d968464a99702783eb8721dd" ma:index="32" nillable="true" ma:taxonomy="true" ma:internalName="n7ea3bf5d968464a99702783eb8721dd" ma:taxonomyFieldName="Mes" ma:displayName="Mes_" ma:default="" ma:fieldId="{77ea3bf5-d968-464a-9970-2783eb8721dd}" ma:sspId="3ac77b2c-d325-4e94-982b-ed583e66bd71" ma:termSetId="06abac69-b213-43b5-806b-878bc1c34c08" ma:anchorId="00000000-0000-0000-0000-000000000000" ma:open="false" ma:isKeyword="false">
      <xsd:complexType>
        <xsd:sequence>
          <xsd:element ref="pc:Terms" minOccurs="0" maxOccurs="1"/>
        </xsd:sequence>
      </xsd:complexType>
    </xsd:element>
    <xsd:element name="k6e49ac2d53b4321b6bf2a64ac630f1e" ma:index="34" nillable="true" ma:taxonomy="true" ma:internalName="k6e49ac2d53b4321b6bf2a64ac630f1e" ma:taxonomyFieldName="Categoria" ma:displayName="Categoria_" ma:default="" ma:fieldId="{46e49ac2-d53b-4321-b6bf-2a64ac630f1e}" ma:sspId="3ac77b2c-d325-4e94-982b-ed583e66bd71" ma:termSetId="1996e4f0-9f70-45d0-9cf8-5594ce6ccc92" ma:anchorId="00000000-0000-0000-0000-000000000000" ma:open="false" ma:isKeyword="false">
      <xsd:complexType>
        <xsd:sequence>
          <xsd:element ref="pc:Terms" minOccurs="0" maxOccurs="1"/>
        </xsd:sequence>
      </xsd:complexType>
    </xsd:element>
    <xsd:element name="e9b4dd5958b242f1b9a6ead3e1222f02" ma:index="37" nillable="true" ma:taxonomy="true" ma:internalName="e9b4dd5958b242f1b9a6ead3e1222f02" ma:taxonomyFieldName="TipoNorma" ma:displayName="Tipo de Norma1" ma:default="" ma:fieldId="{e9b4dd59-58b2-42f1-b9a6-ead3e1222f02}" ma:sspId="3ac77b2c-d325-4e94-982b-ed583e66bd71" ma:termSetId="457ed1eb-1a38-4c16-989d-36881632a6d4" ma:anchorId="00000000-0000-0000-0000-000000000000" ma:open="false" ma:isKeyword="false">
      <xsd:complexType>
        <xsd:sequence>
          <xsd:element ref="pc:Terms" minOccurs="0" maxOccurs="1"/>
        </xsd:sequence>
      </xsd:complexType>
    </xsd:element>
    <xsd:element name="_dlc_DocId" ma:index="38" nillable="true" ma:displayName="Valor de Id. de documento" ma:description="El valor del identificador de documento asignado a este elemento." ma:internalName="_dlc_DocId" ma:readOnly="true">
      <xsd:simpleType>
        <xsd:restriction base="dms:Text"/>
      </xsd:simpleType>
    </xsd:element>
    <xsd:element name="ma69eb2887be407a9d5f3fa084f68ae7" ma:index="39" nillable="true" ma:taxonomy="true" ma:internalName="ma69eb2887be407a9d5f3fa084f68ae7" ma:taxonomyFieldName="TipoVigilado" ma:displayName="Tipo de vigilado_" ma:default="" ma:fieldId="{6a69eb28-87be-407a-9d5f-3fa084f68ae7}" ma:sspId="3ac77b2c-d325-4e94-982b-ed583e66bd71" ma:termSetId="f150babb-547c-4ed8-99eb-fb00aa8c7338" ma:anchorId="00000000-0000-0000-0000-000000000000" ma:open="false" ma:isKeyword="false">
      <xsd:complexType>
        <xsd:sequence>
          <xsd:element ref="pc:Terms" minOccurs="0" maxOccurs="1"/>
        </xsd:sequence>
      </xsd:complexType>
    </xsd:element>
    <xsd:element name="_dlc_DocIdUrl" ma:index="40"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1" nillable="true" ma:displayName="Persist ID" ma:description="Keep ID on add." ma:hidden="true" ma:internalName="_dlc_DocIdPersistId" ma:readOnly="true">
      <xsd:simpleType>
        <xsd:restriction base="dms:Boolean"/>
      </xsd:simpleType>
    </xsd:element>
    <xsd:element name="hc05d8cf50584709bf9d898f7cd63ea9" ma:index="42" nillable="true" ma:taxonomy="true" ma:internalName="hc05d8cf50584709bf9d898f7cd63ea9" ma:taxonomyFieldName="Ano" ma:displayName="Año_" ma:default="" ma:fieldId="{1c05d8cf-5058-4709-bf9d-898f7cd63ea9}" ma:sspId="3ac77b2c-d325-4e94-982b-ed583e66bd71" ma:termSetId="6ccbfcdd-29ad-4c07-a09c-afb8a915800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Format" ma:index="23" nillable="true" ma:displayName="Formato" ma:description="Identifica la forma, tamaño o modo en la que se presenta la información o se permite su visualización o consulta, tales como: hoja de cálculo, imagen, audio, video, documento de texto, etc." ma:format="Dropdown" ma:internalName="_Format">
      <xsd:simpleType>
        <xsd:restriction base="dms:Choice">
          <xsd:enumeration value="Hoja de calculo"/>
          <xsd:enumeration value="Documento de texto"/>
          <xsd:enumeration value="Audio"/>
          <xsd:enumeration value="Video"/>
          <xsd:enumeration value="Imagen"/>
        </xsd:restriction>
      </xsd:simpleType>
    </xsd:element>
  </xsd:schema>
  <xsd:schema xmlns:xsd="http://www.w3.org/2001/XMLSchema" xmlns:xs="http://www.w3.org/2001/XMLSchema" xmlns:dms="http://schemas.microsoft.com/office/2006/documentManagement/types" xmlns:pc="http://schemas.microsoft.com/office/infopath/2007/PartnerControls" targetNamespace="fc59cac2-4a0b-49e5-b878-56577be82993" elementFormDefault="qualified">
    <xsd:import namespace="http://schemas.microsoft.com/office/2006/documentManagement/types"/>
    <xsd:import namespace="http://schemas.microsoft.com/office/infopath/2007/PartnerControls"/>
    <xsd:element name="TaxCatchAllLabel" ma:index="28" nillable="true" ma:displayName="Columna global de taxonomía1" ma:hidden="true" ma:list="{4caf248d-176a-488d-8fa6-5925cba819df}" ma:internalName="TaxCatchAllLabel" ma:readOnly="true" ma:showField="CatchAllDataLabel" ma:web="b6565643-c00f-44ce-b5d1-532a85e4382c">
      <xsd:complexType>
        <xsd:complexContent>
          <xsd:extension base="dms:MultiChoiceLookup">
            <xsd:sequence>
              <xsd:element name="Value" type="dms:Lookup" maxOccurs="unbounded" minOccurs="0" nillable="true"/>
            </xsd:sequence>
          </xsd:extension>
        </xsd:complexContent>
      </xsd:complexType>
    </xsd:element>
    <xsd:element name="TaxCatchAll" ma:index="44" nillable="true" ma:displayName="Columna global de taxonomía" ma:hidden="true" ma:list="{4caf248d-176a-488d-8fa6-5925cba819df}" ma:internalName="TaxCatchAll" ma:showField="CatchAllData" ma:web="b6565643-c00f-44ce-b5d1-532a85e438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5D7E7C-6FAE-43B7-BBB2-CF7E763FC669}"/>
</file>

<file path=customXml/itemProps2.xml><?xml version="1.0" encoding="utf-8"?>
<ds:datastoreItem xmlns:ds="http://schemas.openxmlformats.org/officeDocument/2006/customXml" ds:itemID="{270964E5-C6E7-4841-B640-159EDF8F38E5}">
  <ds:schemaRefs>
    <ds:schemaRef ds:uri="office.server.policy"/>
  </ds:schemaRefs>
</ds:datastoreItem>
</file>

<file path=customXml/itemProps3.xml><?xml version="1.0" encoding="utf-8"?>
<ds:datastoreItem xmlns:ds="http://schemas.openxmlformats.org/officeDocument/2006/customXml" ds:itemID="{2402C1D3-EB0D-4E65-82E5-EE68E0F66F10}"/>
</file>

<file path=customXml/itemProps4.xml><?xml version="1.0" encoding="utf-8"?>
<ds:datastoreItem xmlns:ds="http://schemas.openxmlformats.org/officeDocument/2006/customXml" ds:itemID="{4001CAA6-FA5F-44EA-B1AD-F5305A87B1DB}"/>
</file>

<file path=customXml/itemProps5.xml><?xml version="1.0" encoding="utf-8"?>
<ds:datastoreItem xmlns:ds="http://schemas.openxmlformats.org/officeDocument/2006/customXml" ds:itemID="{CFE51B53-EA30-4AEA-BD6D-6151F241AC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PQRD - SNS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PQRD y solicitudes de información  diciembre 2021</dc:title>
  <dc:subject/>
  <dc:creator>Catalina Cortes Murcia</dc:creator>
  <cp:keywords>formato; Encabezado; Libro; Trabajo; COFL03; hoja; calculo; Excel;  Proceso; Estratégicas; informativa;  Oficina; Asesora; Comunicaciones; Estratégicas; Imagen; Institucional.</cp:keywords>
  <dc:description/>
  <cp:lastModifiedBy>Vivian Valderrama Tellez</cp:lastModifiedBy>
  <cp:revision/>
  <cp:lastPrinted>2020-02-25T14:19:05Z</cp:lastPrinted>
  <dcterms:created xsi:type="dcterms:W3CDTF">2014-12-30T15:23:39Z</dcterms:created>
  <dcterms:modified xsi:type="dcterms:W3CDTF">2022-05-24T21:44:16Z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034fb6c9-6ada-40c5-8474-8eaa4692d98a</vt:lpwstr>
  </property>
  <property fmtid="{D5CDD505-2E9C-101B-9397-08002B2CF9AE}" pid="3" name="ContentTypeId">
    <vt:lpwstr>0x010100013831AC148D7240B2B0A92D12A981FC00653506D51B1C3B48885C915F6085D23D</vt:lpwstr>
  </property>
  <property fmtid="{D5CDD505-2E9C-101B-9397-08002B2CF9AE}" pid="4" name="Grupo_Objetivo">
    <vt:lpwstr>Usuarios</vt:lpwstr>
  </property>
  <property fmtid="{D5CDD505-2E9C-101B-9397-08002B2CF9AE}" pid="5" name="Publicado">
    <vt:bool>true</vt:bool>
  </property>
  <property fmtid="{D5CDD505-2E9C-101B-9397-08002B2CF9AE}" pid="6" name="Tematica">
    <vt:lpwstr>formato, Encabezado, Libro, Trabajo, COFL03, hoja, calculo, Excel,  Proceso, Estratégicas, informativa,  Oficina, Asesora, Comunicaciones, Estratégicas, Imagen, Institucional.</vt:lpwstr>
  </property>
  <property fmtid="{D5CDD505-2E9C-101B-9397-08002B2CF9AE}" pid="7" name="Mes">
    <vt:lpwstr>71;#Diciembre|53229e0b-375c-4df7-987f-87b73da23f97</vt:lpwstr>
  </property>
  <property fmtid="{D5CDD505-2E9C-101B-9397-08002B2CF9AE}" pid="8" name="TipoVigilado">
    <vt:lpwstr/>
  </property>
  <property fmtid="{D5CDD505-2E9C-101B-9397-08002B2CF9AE}" pid="9" name="TipoNorma">
    <vt:lpwstr/>
  </property>
  <property fmtid="{D5CDD505-2E9C-101B-9397-08002B2CF9AE}" pid="10" name="Area">
    <vt:lpwstr/>
  </property>
  <property fmtid="{D5CDD505-2E9C-101B-9397-08002B2CF9AE}" pid="11" name="Categoria">
    <vt:lpwstr/>
  </property>
  <property fmtid="{D5CDD505-2E9C-101B-9397-08002B2CF9AE}" pid="12" name="Ano">
    <vt:lpwstr>155;#2021|45aedafc-f9ba-48a1-b269-ca7e51ab1de7</vt:lpwstr>
  </property>
  <property fmtid="{D5CDD505-2E9C-101B-9397-08002B2CF9AE}" pid="13" name="Ano_Plantilla">
    <vt:lpwstr>2022</vt:lpwstr>
  </property>
  <property fmtid="{D5CDD505-2E9C-101B-9397-08002B2CF9AE}" pid="14" name="Estado">
    <vt:lpwstr/>
  </property>
  <property fmtid="{D5CDD505-2E9C-101B-9397-08002B2CF9AE}" pid="15" name="f33501da5a6943e29ee143f39dc96581">
    <vt:lpwstr/>
  </property>
  <property fmtid="{D5CDD505-2E9C-101B-9397-08002B2CF9AE}" pid="16" name="he2927a13d6f4f43a1c5c34740004df8">
    <vt:lpwstr/>
  </property>
  <property fmtid="{D5CDD505-2E9C-101B-9397-08002B2CF9AE}" pid="17" name="TipoDocumento">
    <vt:lpwstr/>
  </property>
</Properties>
</file>